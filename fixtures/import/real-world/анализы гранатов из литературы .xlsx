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lex\Documents\Мои палитры\Кольский полуостров. Статьи 2019-2022\статья про гранаты 2020\"/>
    </mc:Choice>
  </mc:AlternateContent>
  <xr:revisionPtr revIDLastSave="0" documentId="13_ncr:1_{C482FCA0-7915-412F-814E-BEE134B6BF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гранаты исходники" sheetId="1" r:id="rId1"/>
  </sheets>
  <definedNames>
    <definedName name="btblfn3" localSheetId="0">'гранаты исходники'!$H$14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C322" i="1" l="1"/>
  <c r="DD322" i="1"/>
  <c r="DE322" i="1"/>
  <c r="DE323" i="1"/>
  <c r="L322" i="1"/>
  <c r="L323" i="1"/>
  <c r="L324" i="1"/>
  <c r="L325" i="1"/>
  <c r="DC319" i="1"/>
  <c r="DD319" i="1"/>
  <c r="DE319" i="1"/>
  <c r="DC320" i="1"/>
  <c r="DD320" i="1"/>
  <c r="DE320" i="1"/>
  <c r="DC325" i="1"/>
  <c r="DD325" i="1"/>
  <c r="DE325" i="1"/>
  <c r="DC328" i="1"/>
  <c r="DD328" i="1"/>
  <c r="DE328" i="1"/>
  <c r="DC323" i="1"/>
  <c r="DD323" i="1"/>
  <c r="DC324" i="1"/>
  <c r="DD324" i="1"/>
  <c r="DE324" i="1"/>
  <c r="DC329" i="1"/>
  <c r="DD329" i="1"/>
  <c r="DE329" i="1"/>
  <c r="DC330" i="1"/>
  <c r="DD330" i="1"/>
  <c r="DE330" i="1"/>
  <c r="DC331" i="1"/>
  <c r="DD331" i="1"/>
  <c r="DE331" i="1"/>
  <c r="DC303" i="1"/>
  <c r="DD303" i="1"/>
  <c r="DE303" i="1"/>
  <c r="DC304" i="1"/>
  <c r="DD304" i="1"/>
  <c r="DE304" i="1"/>
  <c r="DC305" i="1"/>
  <c r="DD305" i="1"/>
  <c r="DE305" i="1"/>
  <c r="DC306" i="1"/>
  <c r="DD306" i="1"/>
  <c r="DE306" i="1"/>
  <c r="DC307" i="1"/>
  <c r="DD307" i="1"/>
  <c r="DE307" i="1"/>
  <c r="DC308" i="1"/>
  <c r="DD308" i="1"/>
  <c r="DE308" i="1"/>
  <c r="DC309" i="1"/>
  <c r="DD309" i="1"/>
  <c r="DE309" i="1"/>
  <c r="DC310" i="1"/>
  <c r="DD310" i="1"/>
  <c r="DE310" i="1"/>
  <c r="DC311" i="1"/>
  <c r="DD311" i="1"/>
  <c r="DE311" i="1"/>
  <c r="DC312" i="1"/>
  <c r="DD312" i="1"/>
  <c r="DE312" i="1"/>
  <c r="DC313" i="1"/>
  <c r="DD313" i="1"/>
  <c r="DE313" i="1"/>
  <c r="DC314" i="1"/>
  <c r="DD314" i="1"/>
  <c r="DE314" i="1"/>
  <c r="DC315" i="1"/>
  <c r="DD315" i="1"/>
  <c r="DE315" i="1"/>
  <c r="DC316" i="1"/>
  <c r="DD316" i="1"/>
  <c r="DE316" i="1"/>
  <c r="DC317" i="1"/>
  <c r="DD317" i="1"/>
  <c r="DE317" i="1"/>
  <c r="DC318" i="1"/>
  <c r="DD318" i="1"/>
  <c r="DE318" i="1"/>
  <c r="DD302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DC3" i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C174" i="1"/>
  <c r="DC175" i="1"/>
  <c r="DC176" i="1"/>
  <c r="DC177" i="1"/>
  <c r="DC178" i="1"/>
  <c r="DC179" i="1"/>
  <c r="DC180" i="1"/>
  <c r="DC181" i="1"/>
  <c r="DC182" i="1"/>
  <c r="DC183" i="1"/>
  <c r="DC184" i="1"/>
  <c r="DC185" i="1"/>
  <c r="DC186" i="1"/>
  <c r="DC187" i="1"/>
  <c r="DC188" i="1"/>
  <c r="DC189" i="1"/>
  <c r="DC190" i="1"/>
  <c r="DC191" i="1"/>
  <c r="DC192" i="1"/>
  <c r="DC193" i="1"/>
  <c r="DC194" i="1"/>
  <c r="DC195" i="1"/>
  <c r="DC196" i="1"/>
  <c r="DC197" i="1"/>
  <c r="DC198" i="1"/>
  <c r="DC199" i="1"/>
  <c r="DC200" i="1"/>
  <c r="DC201" i="1"/>
  <c r="DC202" i="1"/>
  <c r="DC203" i="1"/>
  <c r="DC204" i="1"/>
  <c r="DC205" i="1"/>
  <c r="DC206" i="1"/>
  <c r="DC207" i="1"/>
  <c r="DC208" i="1"/>
  <c r="DC209" i="1"/>
  <c r="DC210" i="1"/>
  <c r="DC211" i="1"/>
  <c r="DC212" i="1"/>
  <c r="DC213" i="1"/>
  <c r="DC214" i="1"/>
  <c r="DC215" i="1"/>
  <c r="DC216" i="1"/>
  <c r="DC217" i="1"/>
  <c r="DC218" i="1"/>
  <c r="DC219" i="1"/>
  <c r="DC220" i="1"/>
  <c r="DC221" i="1"/>
  <c r="DC222" i="1"/>
  <c r="DC223" i="1"/>
  <c r="DC224" i="1"/>
  <c r="DC225" i="1"/>
  <c r="DC226" i="1"/>
  <c r="DC227" i="1"/>
  <c r="DC228" i="1"/>
  <c r="DC229" i="1"/>
  <c r="DC230" i="1"/>
  <c r="DC231" i="1"/>
  <c r="DC232" i="1"/>
  <c r="DC233" i="1"/>
  <c r="DC234" i="1"/>
  <c r="DC235" i="1"/>
  <c r="DC236" i="1"/>
  <c r="DC237" i="1"/>
  <c r="DC238" i="1"/>
  <c r="DC239" i="1"/>
  <c r="DC240" i="1"/>
  <c r="DC241" i="1"/>
  <c r="DC242" i="1"/>
  <c r="DC243" i="1"/>
  <c r="DC244" i="1"/>
  <c r="DC245" i="1"/>
  <c r="DC246" i="1"/>
  <c r="DC247" i="1"/>
  <c r="DC248" i="1"/>
  <c r="DC249" i="1"/>
  <c r="DC250" i="1"/>
  <c r="DC251" i="1"/>
  <c r="DC252" i="1"/>
  <c r="DC253" i="1"/>
  <c r="DC254" i="1"/>
  <c r="DC255" i="1"/>
  <c r="DC256" i="1"/>
  <c r="DC257" i="1"/>
  <c r="DC258" i="1"/>
  <c r="DC259" i="1"/>
  <c r="DC260" i="1"/>
  <c r="DC261" i="1"/>
  <c r="DC262" i="1"/>
  <c r="DC263" i="1"/>
  <c r="DC264" i="1"/>
  <c r="DC265" i="1"/>
  <c r="DC266" i="1"/>
  <c r="DC267" i="1"/>
  <c r="DC268" i="1"/>
  <c r="DC269" i="1"/>
  <c r="DC270" i="1"/>
  <c r="DC271" i="1"/>
  <c r="DC272" i="1"/>
  <c r="DC273" i="1"/>
  <c r="DC274" i="1"/>
  <c r="DC275" i="1"/>
  <c r="DC276" i="1"/>
  <c r="DC277" i="1"/>
  <c r="DC278" i="1"/>
  <c r="DC279" i="1"/>
  <c r="DC280" i="1"/>
  <c r="DC281" i="1"/>
  <c r="DC282" i="1"/>
  <c r="DC283" i="1"/>
  <c r="DC284" i="1"/>
  <c r="DC285" i="1"/>
  <c r="DC286" i="1"/>
  <c r="DC287" i="1"/>
  <c r="DC288" i="1"/>
  <c r="DC289" i="1"/>
  <c r="DC290" i="1"/>
  <c r="DC291" i="1"/>
  <c r="DC292" i="1"/>
  <c r="DC293" i="1"/>
  <c r="DC294" i="1"/>
  <c r="DC295" i="1"/>
  <c r="DC296" i="1"/>
  <c r="DC297" i="1"/>
  <c r="DC298" i="1"/>
  <c r="DC299" i="1"/>
  <c r="DC300" i="1"/>
  <c r="DC301" i="1"/>
  <c r="DC302" i="1"/>
  <c r="DC2" i="1"/>
  <c r="DE302" i="1"/>
  <c r="DE301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DE155" i="1"/>
  <c r="DE156" i="1"/>
  <c r="DE157" i="1"/>
  <c r="DE158" i="1"/>
  <c r="DE159" i="1"/>
  <c r="DE160" i="1"/>
  <c r="DE161" i="1"/>
  <c r="DE162" i="1"/>
  <c r="DE163" i="1"/>
  <c r="DE164" i="1"/>
  <c r="DE165" i="1"/>
  <c r="DE166" i="1"/>
  <c r="DE167" i="1"/>
  <c r="DE168" i="1"/>
  <c r="DE169" i="1"/>
  <c r="DE170" i="1"/>
  <c r="DE171" i="1"/>
  <c r="DE172" i="1"/>
  <c r="DE173" i="1"/>
  <c r="DE174" i="1"/>
  <c r="DE175" i="1"/>
  <c r="DE176" i="1"/>
  <c r="DE177" i="1"/>
  <c r="DE178" i="1"/>
  <c r="DE179" i="1"/>
  <c r="DE180" i="1"/>
  <c r="DE181" i="1"/>
  <c r="DE182" i="1"/>
  <c r="DE183" i="1"/>
  <c r="DE184" i="1"/>
  <c r="DE185" i="1"/>
  <c r="DE186" i="1"/>
  <c r="DE187" i="1"/>
  <c r="DE188" i="1"/>
  <c r="DE189" i="1"/>
  <c r="DE190" i="1"/>
  <c r="DE191" i="1"/>
  <c r="DE192" i="1"/>
  <c r="DE193" i="1"/>
  <c r="DE194" i="1"/>
  <c r="DE195" i="1"/>
  <c r="DE196" i="1"/>
  <c r="DE197" i="1"/>
  <c r="DE198" i="1"/>
  <c r="DE199" i="1"/>
  <c r="DE200" i="1"/>
  <c r="DE201" i="1"/>
  <c r="DE202" i="1"/>
  <c r="DE203" i="1"/>
  <c r="DE204" i="1"/>
  <c r="DE205" i="1"/>
  <c r="DE206" i="1"/>
  <c r="DE207" i="1"/>
  <c r="DE208" i="1"/>
  <c r="DE209" i="1"/>
  <c r="DE210" i="1"/>
  <c r="DE211" i="1"/>
  <c r="DE212" i="1"/>
  <c r="DE213" i="1"/>
  <c r="DE214" i="1"/>
  <c r="DE215" i="1"/>
  <c r="DE216" i="1"/>
  <c r="DE217" i="1"/>
  <c r="DE218" i="1"/>
  <c r="DE219" i="1"/>
  <c r="DE220" i="1"/>
  <c r="DE221" i="1"/>
  <c r="DE222" i="1"/>
  <c r="DE223" i="1"/>
  <c r="DE224" i="1"/>
  <c r="DE225" i="1"/>
  <c r="DE226" i="1"/>
  <c r="DE227" i="1"/>
  <c r="DE228" i="1"/>
  <c r="DE229" i="1"/>
  <c r="DE230" i="1"/>
  <c r="DE231" i="1"/>
  <c r="DE232" i="1"/>
  <c r="DE233" i="1"/>
  <c r="DE234" i="1"/>
  <c r="DE235" i="1"/>
  <c r="DE236" i="1"/>
  <c r="DE237" i="1"/>
  <c r="DE238" i="1"/>
  <c r="DE239" i="1"/>
  <c r="DE240" i="1"/>
  <c r="DE241" i="1"/>
  <c r="DE242" i="1"/>
  <c r="DE243" i="1"/>
  <c r="DE244" i="1"/>
  <c r="DE245" i="1"/>
  <c r="DE246" i="1"/>
  <c r="DE247" i="1"/>
  <c r="DE248" i="1"/>
  <c r="DE249" i="1"/>
  <c r="DE250" i="1"/>
  <c r="DE251" i="1"/>
  <c r="DE252" i="1"/>
  <c r="DE253" i="1"/>
  <c r="DE254" i="1"/>
  <c r="DE255" i="1"/>
  <c r="DE256" i="1"/>
  <c r="DE257" i="1"/>
  <c r="DE258" i="1"/>
  <c r="DE259" i="1"/>
  <c r="DE260" i="1"/>
  <c r="DE261" i="1"/>
  <c r="DE262" i="1"/>
  <c r="DE263" i="1"/>
  <c r="DE264" i="1"/>
  <c r="DE265" i="1"/>
  <c r="DE266" i="1"/>
  <c r="DE267" i="1"/>
  <c r="DE268" i="1"/>
  <c r="DE269" i="1"/>
  <c r="DE270" i="1"/>
  <c r="DE271" i="1"/>
  <c r="DE272" i="1"/>
  <c r="DE273" i="1"/>
  <c r="DE274" i="1"/>
  <c r="DE275" i="1"/>
  <c r="DE276" i="1"/>
  <c r="DE277" i="1"/>
  <c r="DE278" i="1"/>
  <c r="DE279" i="1"/>
  <c r="DE280" i="1"/>
  <c r="DE281" i="1"/>
  <c r="DE282" i="1"/>
  <c r="DE283" i="1"/>
  <c r="DE284" i="1"/>
  <c r="DE285" i="1"/>
  <c r="DE286" i="1"/>
  <c r="DE287" i="1"/>
  <c r="DE288" i="1"/>
  <c r="DE289" i="1"/>
  <c r="DE290" i="1"/>
  <c r="DE291" i="1"/>
  <c r="DE292" i="1"/>
  <c r="DE293" i="1"/>
  <c r="DE294" i="1"/>
  <c r="DE295" i="1"/>
  <c r="DE296" i="1"/>
  <c r="DE297" i="1"/>
  <c r="DE298" i="1"/>
  <c r="DE299" i="1"/>
  <c r="DE300" i="1"/>
  <c r="DE3" i="1"/>
  <c r="DE2" i="1"/>
  <c r="DD3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0" i="1"/>
  <c r="DD201" i="1"/>
  <c r="DD202" i="1"/>
  <c r="DD203" i="1"/>
  <c r="DD204" i="1"/>
  <c r="DD205" i="1"/>
  <c r="DD206" i="1"/>
  <c r="DD207" i="1"/>
  <c r="DD208" i="1"/>
  <c r="DD209" i="1"/>
  <c r="DD210" i="1"/>
  <c r="DD211" i="1"/>
  <c r="DD212" i="1"/>
  <c r="DD213" i="1"/>
  <c r="DD214" i="1"/>
  <c r="DD215" i="1"/>
  <c r="DD216" i="1"/>
  <c r="DD217" i="1"/>
  <c r="DD218" i="1"/>
  <c r="DD219" i="1"/>
  <c r="DD220" i="1"/>
  <c r="DD221" i="1"/>
  <c r="DD222" i="1"/>
  <c r="DD223" i="1"/>
  <c r="DD224" i="1"/>
  <c r="DD225" i="1"/>
  <c r="DD226" i="1"/>
  <c r="DD227" i="1"/>
  <c r="DD228" i="1"/>
  <c r="DD229" i="1"/>
  <c r="DD230" i="1"/>
  <c r="DD231" i="1"/>
  <c r="DD232" i="1"/>
  <c r="DD233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46" i="1"/>
  <c r="DD247" i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DD261" i="1"/>
  <c r="DD262" i="1"/>
  <c r="DD263" i="1"/>
  <c r="DD264" i="1"/>
  <c r="DD265" i="1"/>
  <c r="DD266" i="1"/>
  <c r="DD267" i="1"/>
  <c r="DD268" i="1"/>
  <c r="DD269" i="1"/>
  <c r="DD270" i="1"/>
  <c r="DD271" i="1"/>
  <c r="DD272" i="1"/>
  <c r="DD273" i="1"/>
  <c r="DD274" i="1"/>
  <c r="DD275" i="1"/>
  <c r="DD276" i="1"/>
  <c r="DD277" i="1"/>
  <c r="DD278" i="1"/>
  <c r="DD279" i="1"/>
  <c r="DD280" i="1"/>
  <c r="DD281" i="1"/>
  <c r="DD282" i="1"/>
  <c r="DD283" i="1"/>
  <c r="DD284" i="1"/>
  <c r="DD285" i="1"/>
  <c r="DD286" i="1"/>
  <c r="DD287" i="1"/>
  <c r="DD288" i="1"/>
  <c r="DD289" i="1"/>
  <c r="DD290" i="1"/>
  <c r="DD291" i="1"/>
  <c r="DD292" i="1"/>
  <c r="DD293" i="1"/>
  <c r="DD294" i="1"/>
  <c r="DD295" i="1"/>
  <c r="DD296" i="1"/>
  <c r="DD297" i="1"/>
  <c r="DD298" i="1"/>
  <c r="DD299" i="1"/>
  <c r="DD300" i="1"/>
  <c r="DD301" i="1"/>
  <c r="DD2" i="1"/>
  <c r="L301" i="1" l="1"/>
  <c r="L295" i="1"/>
  <c r="L296" i="1"/>
  <c r="L297" i="1"/>
  <c r="L298" i="1"/>
  <c r="L299" i="1"/>
  <c r="L289" i="1"/>
  <c r="L290" i="1"/>
  <c r="L291" i="1"/>
  <c r="L292" i="1"/>
  <c r="L293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72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57" i="1"/>
  <c r="DG3" i="1" l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6" i="1"/>
  <c r="DG28" i="1"/>
  <c r="DG29" i="1"/>
  <c r="DG31" i="1"/>
  <c r="DG33" i="1"/>
  <c r="DG35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" i="1"/>
  <c r="AD5" i="1" l="1"/>
  <c r="AD7" i="1"/>
  <c r="AD9" i="1"/>
  <c r="AD11" i="1"/>
  <c r="AD3" i="1"/>
  <c r="BG14" i="1" l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X51" i="1" s="1"/>
  <c r="BT51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G53" i="1"/>
  <c r="BX53" i="1" s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X55" i="1" s="1"/>
  <c r="BT55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U56" i="1" s="1"/>
  <c r="BT56" i="1"/>
  <c r="BG57" i="1"/>
  <c r="BX57" i="1" s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G58" i="1"/>
  <c r="BX58" i="1" s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X59" i="1" s="1"/>
  <c r="BT59" i="1"/>
  <c r="BG60" i="1"/>
  <c r="BH60" i="1"/>
  <c r="BI60" i="1"/>
  <c r="BJ60" i="1"/>
  <c r="BK60" i="1"/>
  <c r="BU60" i="1" s="1"/>
  <c r="BL60" i="1"/>
  <c r="BM60" i="1"/>
  <c r="BN60" i="1"/>
  <c r="BO60" i="1"/>
  <c r="BP60" i="1"/>
  <c r="BQ60" i="1"/>
  <c r="BR60" i="1"/>
  <c r="BS60" i="1"/>
  <c r="BX60" i="1" s="1"/>
  <c r="BT60" i="1"/>
  <c r="BG61" i="1"/>
  <c r="BV61" i="1" s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G62" i="1"/>
  <c r="BX62" i="1" s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X63" i="1" s="1"/>
  <c r="BT63" i="1"/>
  <c r="BG64" i="1"/>
  <c r="BH64" i="1"/>
  <c r="BI64" i="1"/>
  <c r="BJ64" i="1"/>
  <c r="BK64" i="1"/>
  <c r="BV64" i="1" s="1"/>
  <c r="BL64" i="1"/>
  <c r="BM64" i="1"/>
  <c r="BN64" i="1"/>
  <c r="BO64" i="1"/>
  <c r="BP64" i="1"/>
  <c r="BQ64" i="1"/>
  <c r="BR64" i="1"/>
  <c r="BS64" i="1"/>
  <c r="BX64" i="1" s="1"/>
  <c r="BT64" i="1"/>
  <c r="BG65" i="1"/>
  <c r="BV65" i="1" s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G66" i="1"/>
  <c r="BX66" i="1" s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X67" i="1" s="1"/>
  <c r="BT67" i="1"/>
  <c r="BG68" i="1"/>
  <c r="BH68" i="1"/>
  <c r="BI68" i="1"/>
  <c r="BJ68" i="1"/>
  <c r="BK68" i="1"/>
  <c r="BU68" i="1" s="1"/>
  <c r="BL68" i="1"/>
  <c r="BM68" i="1"/>
  <c r="BN68" i="1"/>
  <c r="BO68" i="1"/>
  <c r="BP68" i="1"/>
  <c r="BQ68" i="1"/>
  <c r="BR68" i="1"/>
  <c r="BS68" i="1"/>
  <c r="BT68" i="1"/>
  <c r="BG69" i="1"/>
  <c r="BV69" i="1" s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G70" i="1"/>
  <c r="BX70" i="1" s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X71" i="1" s="1"/>
  <c r="BT71" i="1"/>
  <c r="BG72" i="1"/>
  <c r="BH72" i="1"/>
  <c r="BI72" i="1"/>
  <c r="BJ72" i="1"/>
  <c r="BK72" i="1"/>
  <c r="BU72" i="1" s="1"/>
  <c r="BL72" i="1"/>
  <c r="BM72" i="1"/>
  <c r="BN72" i="1"/>
  <c r="BO72" i="1"/>
  <c r="BP72" i="1"/>
  <c r="BQ72" i="1"/>
  <c r="BR72" i="1"/>
  <c r="BS72" i="1"/>
  <c r="BT72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G75" i="1"/>
  <c r="BH75" i="1"/>
  <c r="BI75" i="1"/>
  <c r="BJ75" i="1"/>
  <c r="BK75" i="1"/>
  <c r="BV75" i="1" s="1"/>
  <c r="BL75" i="1"/>
  <c r="BM75" i="1"/>
  <c r="BN75" i="1"/>
  <c r="BO75" i="1"/>
  <c r="BP75" i="1"/>
  <c r="BQ75" i="1"/>
  <c r="BR75" i="1"/>
  <c r="BS75" i="1"/>
  <c r="BX75" i="1" s="1"/>
  <c r="BT75" i="1"/>
  <c r="BG76" i="1"/>
  <c r="BH76" i="1"/>
  <c r="BI76" i="1"/>
  <c r="BJ76" i="1"/>
  <c r="BK76" i="1"/>
  <c r="BU76" i="1" s="1"/>
  <c r="BL76" i="1"/>
  <c r="BM76" i="1"/>
  <c r="BN76" i="1"/>
  <c r="BO76" i="1"/>
  <c r="BP76" i="1"/>
  <c r="BQ76" i="1"/>
  <c r="BR76" i="1"/>
  <c r="BS76" i="1"/>
  <c r="BT76" i="1"/>
  <c r="BG77" i="1"/>
  <c r="BV77" i="1" s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G78" i="1"/>
  <c r="BX78" i="1" s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G79" i="1"/>
  <c r="BH79" i="1"/>
  <c r="BI79" i="1"/>
  <c r="BJ79" i="1"/>
  <c r="BK79" i="1"/>
  <c r="BV79" i="1" s="1"/>
  <c r="BL79" i="1"/>
  <c r="BM79" i="1"/>
  <c r="BN79" i="1"/>
  <c r="BO79" i="1"/>
  <c r="BP79" i="1"/>
  <c r="BQ79" i="1"/>
  <c r="BR79" i="1"/>
  <c r="BS79" i="1"/>
  <c r="BX79" i="1" s="1"/>
  <c r="BT79" i="1"/>
  <c r="BG80" i="1"/>
  <c r="BH80" i="1"/>
  <c r="BI80" i="1"/>
  <c r="BJ80" i="1"/>
  <c r="BK80" i="1"/>
  <c r="BU80" i="1" s="1"/>
  <c r="BL80" i="1"/>
  <c r="BM80" i="1"/>
  <c r="BN80" i="1"/>
  <c r="BO80" i="1"/>
  <c r="BP80" i="1"/>
  <c r="BQ80" i="1"/>
  <c r="BR80" i="1"/>
  <c r="BS80" i="1"/>
  <c r="BX80" i="1" s="1"/>
  <c r="BT80" i="1"/>
  <c r="BG81" i="1"/>
  <c r="BX81" i="1" s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X86" i="1" s="1"/>
  <c r="BT86" i="1"/>
  <c r="BG88" i="1"/>
  <c r="BV88" i="1" s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X91" i="1" s="1"/>
  <c r="BT91" i="1"/>
  <c r="BG92" i="1"/>
  <c r="BH92" i="1"/>
  <c r="BI92" i="1"/>
  <c r="BJ92" i="1"/>
  <c r="BK92" i="1"/>
  <c r="BV92" i="1" s="1"/>
  <c r="BL92" i="1"/>
  <c r="BM92" i="1"/>
  <c r="BN92" i="1"/>
  <c r="BO92" i="1"/>
  <c r="BP92" i="1"/>
  <c r="BQ92" i="1"/>
  <c r="BR92" i="1"/>
  <c r="BS92" i="1"/>
  <c r="BT92" i="1"/>
  <c r="BG94" i="1"/>
  <c r="BX94" i="1" s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G95" i="1"/>
  <c r="BX95" i="1" s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G119" i="1"/>
  <c r="BX119" i="1" s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G126" i="1"/>
  <c r="BH126" i="1"/>
  <c r="BI126" i="1"/>
  <c r="BJ126" i="1"/>
  <c r="BK126" i="1"/>
  <c r="BU126" i="1" s="1"/>
  <c r="BL126" i="1"/>
  <c r="BM126" i="1"/>
  <c r="BN126" i="1"/>
  <c r="BO126" i="1"/>
  <c r="BP126" i="1"/>
  <c r="BQ126" i="1"/>
  <c r="BR126" i="1"/>
  <c r="BS126" i="1"/>
  <c r="BT126" i="1"/>
  <c r="BG127" i="1"/>
  <c r="BX127" i="1" s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G139" i="1"/>
  <c r="BV139" i="1" s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G146" i="1"/>
  <c r="BH146" i="1"/>
  <c r="BI146" i="1"/>
  <c r="BJ146" i="1"/>
  <c r="BK146" i="1"/>
  <c r="BV146" i="1" s="1"/>
  <c r="BL146" i="1"/>
  <c r="BM146" i="1"/>
  <c r="BN146" i="1"/>
  <c r="BO146" i="1"/>
  <c r="BP146" i="1"/>
  <c r="BQ146" i="1"/>
  <c r="BR146" i="1"/>
  <c r="BS146" i="1"/>
  <c r="BT146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N13" i="1"/>
  <c r="BM13" i="1"/>
  <c r="BU15" i="1"/>
  <c r="BU23" i="1"/>
  <c r="BU14" i="1"/>
  <c r="BU16" i="1"/>
  <c r="BU18" i="1"/>
  <c r="BU19" i="1"/>
  <c r="BU20" i="1"/>
  <c r="BU22" i="1"/>
  <c r="BU24" i="1"/>
  <c r="BU28" i="1"/>
  <c r="BU29" i="1"/>
  <c r="BU31" i="1"/>
  <c r="BU35" i="1"/>
  <c r="BU37" i="1"/>
  <c r="BH13" i="1"/>
  <c r="BI13" i="1"/>
  <c r="BJ13" i="1"/>
  <c r="BK13" i="1"/>
  <c r="BL13" i="1"/>
  <c r="BO13" i="1"/>
  <c r="BP13" i="1"/>
  <c r="BQ13" i="1"/>
  <c r="BR13" i="1"/>
  <c r="BS13" i="1"/>
  <c r="BT13" i="1"/>
  <c r="BG13" i="1"/>
  <c r="BX72" i="1"/>
  <c r="BU74" i="1"/>
  <c r="BX76" i="1"/>
  <c r="BU77" i="1"/>
  <c r="BU78" i="1"/>
  <c r="BU81" i="1"/>
  <c r="BV70" i="1"/>
  <c r="BX52" i="1"/>
  <c r="BU52" i="1"/>
  <c r="BV52" i="1"/>
  <c r="BU54" i="1"/>
  <c r="BX54" i="1"/>
  <c r="BV56" i="1"/>
  <c r="BX56" i="1"/>
  <c r="BU57" i="1"/>
  <c r="BU58" i="1"/>
  <c r="BU62" i="1"/>
  <c r="BU64" i="1"/>
  <c r="BU65" i="1"/>
  <c r="BU66" i="1"/>
  <c r="BX68" i="1"/>
  <c r="BU70" i="1"/>
  <c r="BU88" i="1"/>
  <c r="BV91" i="1"/>
  <c r="BU92" i="1"/>
  <c r="BU94" i="1"/>
  <c r="BU95" i="1"/>
  <c r="BU38" i="1"/>
  <c r="BU111" i="1"/>
  <c r="BU131" i="1"/>
  <c r="BU14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U201" i="1" s="1"/>
  <c r="BT201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U217" i="1" s="1"/>
  <c r="BT217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U262" i="1" s="1"/>
  <c r="BT262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J315" i="1"/>
  <c r="BK315" i="1"/>
  <c r="BL315" i="1"/>
  <c r="BM315" i="1"/>
  <c r="BN315" i="1"/>
  <c r="BO315" i="1"/>
  <c r="BP315" i="1"/>
  <c r="BQ315" i="1"/>
  <c r="BR315" i="1"/>
  <c r="BS315" i="1"/>
  <c r="BT315" i="1"/>
  <c r="BJ316" i="1"/>
  <c r="BK316" i="1"/>
  <c r="BL316" i="1"/>
  <c r="BM316" i="1"/>
  <c r="BN316" i="1"/>
  <c r="BO316" i="1"/>
  <c r="BP316" i="1"/>
  <c r="BQ316" i="1"/>
  <c r="BR316" i="1"/>
  <c r="BS316" i="1"/>
  <c r="BT316" i="1"/>
  <c r="BJ317" i="1"/>
  <c r="BK317" i="1"/>
  <c r="BL317" i="1"/>
  <c r="BM317" i="1"/>
  <c r="BN317" i="1"/>
  <c r="BO317" i="1"/>
  <c r="BP317" i="1"/>
  <c r="BQ317" i="1"/>
  <c r="BR317" i="1"/>
  <c r="BS317" i="1"/>
  <c r="BT317" i="1"/>
  <c r="BJ318" i="1"/>
  <c r="BK318" i="1"/>
  <c r="BL318" i="1"/>
  <c r="BM318" i="1"/>
  <c r="BN318" i="1"/>
  <c r="BO318" i="1"/>
  <c r="BP318" i="1"/>
  <c r="BQ318" i="1"/>
  <c r="BR318" i="1"/>
  <c r="BS318" i="1"/>
  <c r="BT318" i="1"/>
  <c r="BJ319" i="1"/>
  <c r="BK319" i="1"/>
  <c r="BL319" i="1"/>
  <c r="BM319" i="1"/>
  <c r="BN319" i="1"/>
  <c r="BO319" i="1"/>
  <c r="BP319" i="1"/>
  <c r="BQ319" i="1"/>
  <c r="BR319" i="1"/>
  <c r="BS319" i="1"/>
  <c r="BT319" i="1"/>
  <c r="BJ320" i="1"/>
  <c r="BK320" i="1"/>
  <c r="BL320" i="1"/>
  <c r="BM320" i="1"/>
  <c r="BN320" i="1"/>
  <c r="BO320" i="1"/>
  <c r="BP320" i="1"/>
  <c r="BQ320" i="1"/>
  <c r="BR320" i="1"/>
  <c r="BS320" i="1"/>
  <c r="BT320" i="1"/>
  <c r="BJ325" i="1"/>
  <c r="BK325" i="1"/>
  <c r="BL325" i="1"/>
  <c r="BM325" i="1"/>
  <c r="BN325" i="1"/>
  <c r="BO325" i="1"/>
  <c r="BP325" i="1"/>
  <c r="BQ325" i="1"/>
  <c r="BR325" i="1"/>
  <c r="BS325" i="1"/>
  <c r="BT325" i="1"/>
  <c r="BJ328" i="1"/>
  <c r="BK328" i="1"/>
  <c r="BL328" i="1"/>
  <c r="BM328" i="1"/>
  <c r="BN328" i="1"/>
  <c r="BO328" i="1"/>
  <c r="BP328" i="1"/>
  <c r="BQ328" i="1"/>
  <c r="BR328" i="1"/>
  <c r="BS328" i="1"/>
  <c r="BT328" i="1"/>
  <c r="BJ323" i="1"/>
  <c r="BK323" i="1"/>
  <c r="BL323" i="1"/>
  <c r="BM323" i="1"/>
  <c r="BN323" i="1"/>
  <c r="BO323" i="1"/>
  <c r="BP323" i="1"/>
  <c r="BQ323" i="1"/>
  <c r="BR323" i="1"/>
  <c r="BS323" i="1"/>
  <c r="BT323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BT353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BT356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G359" i="1"/>
  <c r="BH359" i="1"/>
  <c r="BI359" i="1"/>
  <c r="BJ359" i="1"/>
  <c r="BK359" i="1"/>
  <c r="BL359" i="1"/>
  <c r="BM359" i="1"/>
  <c r="BN359" i="1"/>
  <c r="BO359" i="1"/>
  <c r="BP359" i="1"/>
  <c r="BQ359" i="1"/>
  <c r="BR359" i="1"/>
  <c r="BS359" i="1"/>
  <c r="BT359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G362" i="1"/>
  <c r="BH362" i="1"/>
  <c r="BI362" i="1"/>
  <c r="BJ362" i="1"/>
  <c r="BK362" i="1"/>
  <c r="BL362" i="1"/>
  <c r="BM362" i="1"/>
  <c r="BN362" i="1"/>
  <c r="BO362" i="1"/>
  <c r="BP362" i="1"/>
  <c r="BQ362" i="1"/>
  <c r="BR362" i="1"/>
  <c r="BS362" i="1"/>
  <c r="BT362" i="1"/>
  <c r="BG363" i="1"/>
  <c r="BH363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G364" i="1"/>
  <c r="BH364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BT367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BT368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V68" i="1" l="1"/>
  <c r="BV58" i="1"/>
  <c r="BV78" i="1"/>
  <c r="BV72" i="1"/>
  <c r="BU91" i="1"/>
  <c r="BU85" i="1"/>
  <c r="BU71" i="1"/>
  <c r="BU67" i="1"/>
  <c r="BU39" i="1"/>
  <c r="BU26" i="1"/>
  <c r="BU21" i="1"/>
  <c r="BU17" i="1"/>
  <c r="BV60" i="1"/>
  <c r="BV76" i="1"/>
  <c r="BU128" i="1"/>
  <c r="BU63" i="1"/>
  <c r="BU59" i="1"/>
  <c r="BU55" i="1"/>
  <c r="BX69" i="1"/>
  <c r="BU79" i="1"/>
  <c r="BU51" i="1"/>
  <c r="BX150" i="1"/>
  <c r="BX146" i="1"/>
  <c r="BX92" i="1"/>
  <c r="BV80" i="1"/>
  <c r="BX74" i="1"/>
  <c r="BU33" i="1"/>
  <c r="BX88" i="1"/>
  <c r="BV57" i="1"/>
  <c r="BX65" i="1"/>
  <c r="BV59" i="1"/>
  <c r="BV53" i="1"/>
  <c r="BV71" i="1"/>
  <c r="BU75" i="1"/>
  <c r="BX61" i="1"/>
  <c r="BX77" i="1"/>
  <c r="BV67" i="1"/>
  <c r="BX239" i="1"/>
  <c r="BV239" i="1"/>
  <c r="BU185" i="1"/>
  <c r="BX175" i="1"/>
  <c r="BX171" i="1"/>
  <c r="BV171" i="1"/>
  <c r="BX139" i="1"/>
  <c r="BX187" i="1"/>
  <c r="BV187" i="1"/>
  <c r="BV254" i="1"/>
  <c r="BX248" i="1"/>
  <c r="BX238" i="1"/>
  <c r="BV222" i="1"/>
  <c r="BX212" i="1"/>
  <c r="BX208" i="1"/>
  <c r="BV208" i="1"/>
  <c r="BV174" i="1"/>
  <c r="BX172" i="1"/>
  <c r="BV170" i="1"/>
  <c r="BU168" i="1"/>
  <c r="BX263" i="1"/>
  <c r="BX261" i="1"/>
  <c r="BX253" i="1"/>
  <c r="BX247" i="1"/>
  <c r="BX167" i="1"/>
  <c r="BX159" i="1"/>
  <c r="BU254" i="1"/>
  <c r="BU233" i="1"/>
  <c r="BX229" i="1"/>
  <c r="BX225" i="1"/>
  <c r="BX223" i="1"/>
  <c r="BX221" i="1"/>
  <c r="BX209" i="1"/>
  <c r="BX164" i="1"/>
  <c r="BU200" i="1"/>
  <c r="BX193" i="1"/>
  <c r="BX191" i="1"/>
  <c r="BX181" i="1"/>
  <c r="BX177" i="1"/>
  <c r="BU169" i="1"/>
  <c r="BU153" i="1"/>
  <c r="BX199" i="1"/>
  <c r="BV74" i="1"/>
  <c r="BV81" i="1"/>
  <c r="BU84" i="1"/>
  <c r="BX103" i="1"/>
  <c r="BU127" i="1"/>
  <c r="BU119" i="1"/>
  <c r="BX115" i="1"/>
  <c r="BV115" i="1"/>
  <c r="BU107" i="1"/>
  <c r="BU103" i="1"/>
  <c r="BX89" i="1"/>
  <c r="BU89" i="1"/>
  <c r="BV84" i="1"/>
  <c r="BV85" i="1"/>
  <c r="BX120" i="1"/>
  <c r="BU120" i="1"/>
  <c r="BV118" i="1"/>
  <c r="BX116" i="1"/>
  <c r="BX104" i="1"/>
  <c r="BV104" i="1"/>
  <c r="BX85" i="1"/>
  <c r="BX143" i="1"/>
  <c r="BU121" i="1"/>
  <c r="BU86" i="1"/>
  <c r="BU142" i="1"/>
  <c r="BU118" i="1"/>
  <c r="BX84" i="1"/>
  <c r="BV51" i="1"/>
  <c r="BU69" i="1"/>
  <c r="BU61" i="1"/>
  <c r="BU53" i="1"/>
  <c r="BV66" i="1"/>
  <c r="BV63" i="1"/>
  <c r="BV55" i="1"/>
  <c r="BV62" i="1"/>
  <c r="BV54" i="1"/>
  <c r="BV89" i="1"/>
  <c r="BV95" i="1"/>
  <c r="BV94" i="1"/>
  <c r="BV86" i="1"/>
  <c r="BX134" i="1"/>
  <c r="BX130" i="1"/>
  <c r="BU46" i="1"/>
  <c r="BV143" i="1"/>
  <c r="BX129" i="1"/>
  <c r="BX114" i="1"/>
  <c r="BV112" i="1"/>
  <c r="BV142" i="1"/>
  <c r="BX140" i="1"/>
  <c r="BV128" i="1"/>
  <c r="BU184" i="1"/>
  <c r="BX33" i="1"/>
  <c r="BU247" i="1"/>
  <c r="BX236" i="1"/>
  <c r="BU163" i="1"/>
  <c r="BU97" i="1"/>
  <c r="BU105" i="1"/>
  <c r="BV262" i="1"/>
  <c r="BX260" i="1"/>
  <c r="BU258" i="1"/>
  <c r="BX256" i="1"/>
  <c r="BV246" i="1"/>
  <c r="BX240" i="1"/>
  <c r="BV240" i="1"/>
  <c r="BU230" i="1"/>
  <c r="BX228" i="1"/>
  <c r="BX226" i="1"/>
  <c r="BX220" i="1"/>
  <c r="BU177" i="1"/>
  <c r="BV138" i="1"/>
  <c r="BU123" i="1"/>
  <c r="BX196" i="1"/>
  <c r="BX194" i="1"/>
  <c r="BX160" i="1"/>
  <c r="BV160" i="1"/>
  <c r="BV153" i="1"/>
  <c r="BX151" i="1"/>
  <c r="BX142" i="1"/>
  <c r="BV121" i="1"/>
  <c r="BX112" i="1"/>
  <c r="BV98" i="1"/>
  <c r="BX257" i="1"/>
  <c r="BX246" i="1"/>
  <c r="BX233" i="1"/>
  <c r="BX231" i="1"/>
  <c r="BU231" i="1"/>
  <c r="BX215" i="1"/>
  <c r="BX207" i="1"/>
  <c r="BX203" i="1"/>
  <c r="BV203" i="1"/>
  <c r="BX201" i="1"/>
  <c r="BX180" i="1"/>
  <c r="BX178" i="1"/>
  <c r="BU137" i="1"/>
  <c r="BV126" i="1"/>
  <c r="BX124" i="1"/>
  <c r="BV120" i="1"/>
  <c r="BV247" i="1"/>
  <c r="BV238" i="1"/>
  <c r="BU199" i="1"/>
  <c r="BX144" i="1"/>
  <c r="BV97" i="1"/>
  <c r="BU246" i="1"/>
  <c r="BU232" i="1"/>
  <c r="BU216" i="1"/>
  <c r="BX185" i="1"/>
  <c r="BV168" i="1"/>
  <c r="BV159" i="1"/>
  <c r="BX157" i="1"/>
  <c r="BV130" i="1"/>
  <c r="BV127" i="1"/>
  <c r="BX125" i="1"/>
  <c r="BX48" i="1"/>
  <c r="BX40" i="1"/>
  <c r="BU249" i="1"/>
  <c r="BU207" i="1"/>
  <c r="BU167" i="1"/>
  <c r="BU158" i="1"/>
  <c r="BU134" i="1"/>
  <c r="BU190" i="1"/>
  <c r="BU150" i="1"/>
  <c r="BV373" i="1"/>
  <c r="BX371" i="1"/>
  <c r="BV369" i="1"/>
  <c r="BX367" i="1"/>
  <c r="BV365" i="1"/>
  <c r="BX363" i="1"/>
  <c r="BV361" i="1"/>
  <c r="BX359" i="1"/>
  <c r="BV357" i="1"/>
  <c r="BX355" i="1"/>
  <c r="BV353" i="1"/>
  <c r="BX351" i="1"/>
  <c r="BV349" i="1"/>
  <c r="BX347" i="1"/>
  <c r="BV345" i="1"/>
  <c r="BX343" i="1"/>
  <c r="BV341" i="1"/>
  <c r="BX339" i="1"/>
  <c r="BV337" i="1"/>
  <c r="BX335" i="1"/>
  <c r="BV333" i="1"/>
  <c r="BX331" i="1"/>
  <c r="BV329" i="1"/>
  <c r="BX323" i="1"/>
  <c r="BV325" i="1"/>
  <c r="BX319" i="1"/>
  <c r="BV317" i="1"/>
  <c r="BX315" i="1"/>
  <c r="BV313" i="1"/>
  <c r="BX311" i="1"/>
  <c r="BV309" i="1"/>
  <c r="BX307" i="1"/>
  <c r="BV305" i="1"/>
  <c r="BV301" i="1"/>
  <c r="BV281" i="1"/>
  <c r="BU263" i="1"/>
  <c r="BX252" i="1"/>
  <c r="BU238" i="1"/>
  <c r="BU222" i="1"/>
  <c r="BX213" i="1"/>
  <c r="BV206" i="1"/>
  <c r="BX204" i="1"/>
  <c r="BV202" i="1"/>
  <c r="BU195" i="1"/>
  <c r="BV184" i="1"/>
  <c r="BU182" i="1"/>
  <c r="BV175" i="1"/>
  <c r="BX173" i="1"/>
  <c r="BU159" i="1"/>
  <c r="BX155" i="1"/>
  <c r="BV155" i="1"/>
  <c r="BV144" i="1"/>
  <c r="BV137" i="1"/>
  <c r="BX135" i="1"/>
  <c r="BU135" i="1"/>
  <c r="BV122" i="1"/>
  <c r="BV119" i="1"/>
  <c r="BX111" i="1"/>
  <c r="BV111" i="1"/>
  <c r="BV103" i="1"/>
  <c r="BX101" i="1"/>
  <c r="BU226" i="1"/>
  <c r="BU259" i="1"/>
  <c r="BU255" i="1"/>
  <c r="BU239" i="1"/>
  <c r="BX227" i="1"/>
  <c r="BU227" i="1"/>
  <c r="BU209" i="1"/>
  <c r="BU191" i="1"/>
  <c r="BU178" i="1"/>
  <c r="BU151" i="1"/>
  <c r="BU147" i="1"/>
  <c r="BX128" i="1"/>
  <c r="BU112" i="1"/>
  <c r="BX262" i="1"/>
  <c r="BX251" i="1"/>
  <c r="BV251" i="1"/>
  <c r="BV230" i="1"/>
  <c r="BU223" i="1"/>
  <c r="BV216" i="1"/>
  <c r="BU214" i="1"/>
  <c r="BX205" i="1"/>
  <c r="BX192" i="1"/>
  <c r="BV192" i="1"/>
  <c r="BX183" i="1"/>
  <c r="BU183" i="1"/>
  <c r="BU174" i="1"/>
  <c r="BV158" i="1"/>
  <c r="BX156" i="1"/>
  <c r="BV154" i="1"/>
  <c r="BX136" i="1"/>
  <c r="BU136" i="1"/>
  <c r="BU113" i="1"/>
  <c r="BV258" i="1"/>
  <c r="BV256" i="1"/>
  <c r="BX245" i="1"/>
  <c r="BX241" i="1"/>
  <c r="BU241" i="1"/>
  <c r="BX235" i="1"/>
  <c r="BV235" i="1"/>
  <c r="BV232" i="1"/>
  <c r="BV231" i="1"/>
  <c r="BX224" i="1"/>
  <c r="BV224" i="1"/>
  <c r="BX219" i="1"/>
  <c r="BV219" i="1"/>
  <c r="BX217" i="1"/>
  <c r="BX210" i="1"/>
  <c r="BU210" i="1"/>
  <c r="BV190" i="1"/>
  <c r="BX188" i="1"/>
  <c r="BV186" i="1"/>
  <c r="BU179" i="1"/>
  <c r="BX161" i="1"/>
  <c r="BU161" i="1"/>
  <c r="BX152" i="1"/>
  <c r="BU152" i="1"/>
  <c r="BX141" i="1"/>
  <c r="BU215" i="1"/>
  <c r="BU206" i="1"/>
  <c r="BU193" i="1"/>
  <c r="BU175" i="1"/>
  <c r="BU166" i="1"/>
  <c r="BU144" i="1"/>
  <c r="BU129" i="1"/>
  <c r="BU115" i="1"/>
  <c r="BU257" i="1"/>
  <c r="BX242" i="1"/>
  <c r="BV242" i="1"/>
  <c r="BU225" i="1"/>
  <c r="BV218" i="1"/>
  <c r="BU211" i="1"/>
  <c r="BV200" i="1"/>
  <c r="BU198" i="1"/>
  <c r="BV191" i="1"/>
  <c r="BX189" i="1"/>
  <c r="BX176" i="1"/>
  <c r="BV176" i="1"/>
  <c r="BX169" i="1"/>
  <c r="BX162" i="1"/>
  <c r="BV162" i="1"/>
  <c r="BX145" i="1"/>
  <c r="BU145" i="1"/>
  <c r="BX24" i="1"/>
  <c r="BU194" i="1"/>
  <c r="BU248" i="1"/>
  <c r="BU240" i="1"/>
  <c r="BU236" i="1"/>
  <c r="BV226" i="1"/>
  <c r="BU224" i="1"/>
  <c r="BV223" i="1"/>
  <c r="BX222" i="1"/>
  <c r="BU220" i="1"/>
  <c r="BV210" i="1"/>
  <c r="BU208" i="1"/>
  <c r="BV207" i="1"/>
  <c r="BX206" i="1"/>
  <c r="BU204" i="1"/>
  <c r="BV194" i="1"/>
  <c r="BU192" i="1"/>
  <c r="BX190" i="1"/>
  <c r="BU188" i="1"/>
  <c r="BV178" i="1"/>
  <c r="BU176" i="1"/>
  <c r="BX174" i="1"/>
  <c r="BU172" i="1"/>
  <c r="BU160" i="1"/>
  <c r="BX158" i="1"/>
  <c r="BU156" i="1"/>
  <c r="BU140" i="1"/>
  <c r="BU114" i="1"/>
  <c r="BU104" i="1"/>
  <c r="BX244" i="1"/>
  <c r="BX237" i="1"/>
  <c r="BX126" i="1"/>
  <c r="BU43" i="1"/>
  <c r="BU130" i="1"/>
  <c r="BU116" i="1"/>
  <c r="BU162" i="1"/>
  <c r="BU146" i="1"/>
  <c r="BX259" i="1"/>
  <c r="BV259" i="1"/>
  <c r="BX258" i="1"/>
  <c r="BV257" i="1"/>
  <c r="BU256" i="1"/>
  <c r="BU251" i="1"/>
  <c r="BX250" i="1"/>
  <c r="BX243" i="1"/>
  <c r="BV243" i="1"/>
  <c r="BV227" i="1"/>
  <c r="BV214" i="1"/>
  <c r="BX211" i="1"/>
  <c r="BV211" i="1"/>
  <c r="BV198" i="1"/>
  <c r="BX195" i="1"/>
  <c r="BV195" i="1"/>
  <c r="BV182" i="1"/>
  <c r="BX179" i="1"/>
  <c r="BV179" i="1"/>
  <c r="BV166" i="1"/>
  <c r="BX163" i="1"/>
  <c r="BV163" i="1"/>
  <c r="BX153" i="1"/>
  <c r="BX147" i="1"/>
  <c r="BV147" i="1"/>
  <c r="BX137" i="1"/>
  <c r="BX131" i="1"/>
  <c r="BV131" i="1"/>
  <c r="BX118" i="1"/>
  <c r="BV113" i="1"/>
  <c r="BX107" i="1"/>
  <c r="BV107" i="1"/>
  <c r="BU48" i="1"/>
  <c r="BX46" i="1"/>
  <c r="BU40" i="1"/>
  <c r="BX299" i="1"/>
  <c r="BV297" i="1"/>
  <c r="BX295" i="1"/>
  <c r="BV293" i="1"/>
  <c r="BX291" i="1"/>
  <c r="BV289" i="1"/>
  <c r="BX287" i="1"/>
  <c r="BV285" i="1"/>
  <c r="BX283" i="1"/>
  <c r="BX279" i="1"/>
  <c r="BX275" i="1"/>
  <c r="BX271" i="1"/>
  <c r="BX267" i="1"/>
  <c r="BX23" i="1"/>
  <c r="BX19" i="1"/>
  <c r="BX15" i="1"/>
  <c r="BX230" i="1"/>
  <c r="BU228" i="1"/>
  <c r="BV215" i="1"/>
  <c r="BX214" i="1"/>
  <c r="BU212" i="1"/>
  <c r="BV199" i="1"/>
  <c r="BX198" i="1"/>
  <c r="BU196" i="1"/>
  <c r="BV183" i="1"/>
  <c r="BX182" i="1"/>
  <c r="BU180" i="1"/>
  <c r="BV167" i="1"/>
  <c r="BX166" i="1"/>
  <c r="BU164" i="1"/>
  <c r="BV152" i="1"/>
  <c r="BV150" i="1"/>
  <c r="BX148" i="1"/>
  <c r="BU148" i="1"/>
  <c r="BV136" i="1"/>
  <c r="BV134" i="1"/>
  <c r="BX132" i="1"/>
  <c r="BU132" i="1"/>
  <c r="BX117" i="1"/>
  <c r="BX108" i="1"/>
  <c r="BU108" i="1"/>
  <c r="BX98" i="1"/>
  <c r="BU98" i="1"/>
  <c r="BU261" i="1"/>
  <c r="BU244" i="1"/>
  <c r="BU235" i="1"/>
  <c r="BU219" i="1"/>
  <c r="BU203" i="1"/>
  <c r="BX197" i="1"/>
  <c r="BU187" i="1"/>
  <c r="BU171" i="1"/>
  <c r="BX165" i="1"/>
  <c r="BU155" i="1"/>
  <c r="BV151" i="1"/>
  <c r="BU139" i="1"/>
  <c r="BV135" i="1"/>
  <c r="BX122" i="1"/>
  <c r="BU122" i="1"/>
  <c r="BV105" i="1"/>
  <c r="BX47" i="1"/>
  <c r="BU41" i="1"/>
  <c r="BX39" i="1"/>
  <c r="BX31" i="1"/>
  <c r="BU350" i="1"/>
  <c r="BV310" i="1"/>
  <c r="BX308" i="1"/>
  <c r="BX304" i="1"/>
  <c r="BV302" i="1"/>
  <c r="BX296" i="1"/>
  <c r="BV294" i="1"/>
  <c r="BX292" i="1"/>
  <c r="BX288" i="1"/>
  <c r="BV286" i="1"/>
  <c r="BX284" i="1"/>
  <c r="BX280" i="1"/>
  <c r="BV278" i="1"/>
  <c r="BX276" i="1"/>
  <c r="BX272" i="1"/>
  <c r="BX268" i="1"/>
  <c r="BV266" i="1"/>
  <c r="BX264" i="1"/>
  <c r="BX20" i="1"/>
  <c r="BX16" i="1"/>
  <c r="BV263" i="1"/>
  <c r="BX255" i="1"/>
  <c r="BU252" i="1"/>
  <c r="BV249" i="1"/>
  <c r="BV233" i="1"/>
  <c r="BX232" i="1"/>
  <c r="BX218" i="1"/>
  <c r="BU218" i="1"/>
  <c r="BV217" i="1"/>
  <c r="BX216" i="1"/>
  <c r="BX202" i="1"/>
  <c r="BU202" i="1"/>
  <c r="BV201" i="1"/>
  <c r="BX200" i="1"/>
  <c r="BX186" i="1"/>
  <c r="BU186" i="1"/>
  <c r="BV185" i="1"/>
  <c r="BX184" i="1"/>
  <c r="BX170" i="1"/>
  <c r="BU170" i="1"/>
  <c r="BV169" i="1"/>
  <c r="BX168" i="1"/>
  <c r="BX154" i="1"/>
  <c r="BU154" i="1"/>
  <c r="BX149" i="1"/>
  <c r="BV145" i="1"/>
  <c r="BX138" i="1"/>
  <c r="BU138" i="1"/>
  <c r="BX133" i="1"/>
  <c r="BV129" i="1"/>
  <c r="BX123" i="1"/>
  <c r="BV123" i="1"/>
  <c r="BV114" i="1"/>
  <c r="BX109" i="1"/>
  <c r="BX100" i="1"/>
  <c r="BU100" i="1"/>
  <c r="BU253" i="1"/>
  <c r="BU124" i="1"/>
  <c r="BU42" i="1"/>
  <c r="BV17" i="1"/>
  <c r="BU44" i="1"/>
  <c r="BV46" i="1"/>
  <c r="BV44" i="1"/>
  <c r="BX45" i="1"/>
  <c r="BX37" i="1"/>
  <c r="BX29" i="1"/>
  <c r="BV24" i="1"/>
  <c r="BV47" i="1"/>
  <c r="BV41" i="1"/>
  <c r="BX35" i="1"/>
  <c r="BV38" i="1"/>
  <c r="BV31" i="1"/>
  <c r="BX26" i="1"/>
  <c r="BV26" i="1"/>
  <c r="BV39" i="1"/>
  <c r="BV33" i="1"/>
  <c r="BX41" i="1"/>
  <c r="BV48" i="1"/>
  <c r="BU47" i="1"/>
  <c r="BV42" i="1"/>
  <c r="BV40" i="1"/>
  <c r="BX38" i="1"/>
  <c r="BV35" i="1"/>
  <c r="BX42" i="1"/>
  <c r="BV28" i="1"/>
  <c r="BX43" i="1"/>
  <c r="BV43" i="1"/>
  <c r="BU229" i="1"/>
  <c r="BV229" i="1"/>
  <c r="BU213" i="1"/>
  <c r="BV213" i="1"/>
  <c r="BU197" i="1"/>
  <c r="BV197" i="1"/>
  <c r="BU181" i="1"/>
  <c r="BV181" i="1"/>
  <c r="BU165" i="1"/>
  <c r="BV165" i="1"/>
  <c r="BU117" i="1"/>
  <c r="BV117" i="1"/>
  <c r="BV261" i="1"/>
  <c r="BV255" i="1"/>
  <c r="BX254" i="1"/>
  <c r="BV253" i="1"/>
  <c r="BU149" i="1"/>
  <c r="BV149" i="1"/>
  <c r="BU133" i="1"/>
  <c r="BV133" i="1"/>
  <c r="BX113" i="1"/>
  <c r="BV37" i="1"/>
  <c r="BU260" i="1"/>
  <c r="BV260" i="1"/>
  <c r="BU250" i="1"/>
  <c r="BU109" i="1"/>
  <c r="BV109" i="1"/>
  <c r="BU243" i="1"/>
  <c r="BU237" i="1"/>
  <c r="BV237" i="1"/>
  <c r="BU221" i="1"/>
  <c r="BV221" i="1"/>
  <c r="BU205" i="1"/>
  <c r="BV205" i="1"/>
  <c r="BU189" i="1"/>
  <c r="BV189" i="1"/>
  <c r="BU173" i="1"/>
  <c r="BV173" i="1"/>
  <c r="BU157" i="1"/>
  <c r="BV157" i="1"/>
  <c r="BU125" i="1"/>
  <c r="BV125" i="1"/>
  <c r="BX105" i="1"/>
  <c r="BU245" i="1"/>
  <c r="BX249" i="1"/>
  <c r="BV248" i="1"/>
  <c r="BU242" i="1"/>
  <c r="BV241" i="1"/>
  <c r="BV225" i="1"/>
  <c r="BV209" i="1"/>
  <c r="BV193" i="1"/>
  <c r="BV177" i="1"/>
  <c r="BV161" i="1"/>
  <c r="BU141" i="1"/>
  <c r="BV141" i="1"/>
  <c r="BX121" i="1"/>
  <c r="BV250" i="1"/>
  <c r="BV245" i="1"/>
  <c r="BU101" i="1"/>
  <c r="BV101" i="1"/>
  <c r="BU45" i="1"/>
  <c r="BV45" i="1"/>
  <c r="BV29" i="1"/>
  <c r="BX97" i="1"/>
  <c r="BX44" i="1"/>
  <c r="BX28" i="1"/>
  <c r="BV252" i="1"/>
  <c r="BV244" i="1"/>
  <c r="BV236" i="1"/>
  <c r="BV228" i="1"/>
  <c r="BV220" i="1"/>
  <c r="BV212" i="1"/>
  <c r="BV204" i="1"/>
  <c r="BV196" i="1"/>
  <c r="BV188" i="1"/>
  <c r="BV180" i="1"/>
  <c r="BV172" i="1"/>
  <c r="BV164" i="1"/>
  <c r="BV156" i="1"/>
  <c r="BV148" i="1"/>
  <c r="BV140" i="1"/>
  <c r="BV132" i="1"/>
  <c r="BV124" i="1"/>
  <c r="BV116" i="1"/>
  <c r="BV108" i="1"/>
  <c r="BV100" i="1"/>
  <c r="BV13" i="1"/>
  <c r="BU275" i="1"/>
  <c r="BU271" i="1"/>
  <c r="BU267" i="1"/>
  <c r="BV372" i="1"/>
  <c r="BX370" i="1"/>
  <c r="BX366" i="1"/>
  <c r="BV364" i="1"/>
  <c r="BX362" i="1"/>
  <c r="BX358" i="1"/>
  <c r="BV356" i="1"/>
  <c r="BX354" i="1"/>
  <c r="BX350" i="1"/>
  <c r="BV348" i="1"/>
  <c r="BX346" i="1"/>
  <c r="BX342" i="1"/>
  <c r="BV340" i="1"/>
  <c r="BX338" i="1"/>
  <c r="BX334" i="1"/>
  <c r="BV332" i="1"/>
  <c r="BX330" i="1"/>
  <c r="BV324" i="1"/>
  <c r="BX328" i="1"/>
  <c r="BX318" i="1"/>
  <c r="BV316" i="1"/>
  <c r="BX314" i="1"/>
  <c r="BU308" i="1"/>
  <c r="BU292" i="1"/>
  <c r="BU284" i="1"/>
  <c r="BU264" i="1"/>
  <c r="BV22" i="1"/>
  <c r="BV14" i="1"/>
  <c r="BU277" i="1"/>
  <c r="BV277" i="1"/>
  <c r="BU273" i="1"/>
  <c r="BV273" i="1"/>
  <c r="BU269" i="1"/>
  <c r="BV269" i="1"/>
  <c r="BX13" i="1"/>
  <c r="BU372" i="1"/>
  <c r="BU356" i="1"/>
  <c r="BU340" i="1"/>
  <c r="BU324" i="1"/>
  <c r="BX356" i="1"/>
  <c r="BV354" i="1"/>
  <c r="BU354" i="1"/>
  <c r="BX348" i="1"/>
  <c r="BV346" i="1"/>
  <c r="BU346" i="1"/>
  <c r="BX340" i="1"/>
  <c r="BV338" i="1"/>
  <c r="BU338" i="1"/>
  <c r="BV334" i="1"/>
  <c r="BX332" i="1"/>
  <c r="BX316" i="1"/>
  <c r="BV298" i="1"/>
  <c r="BU298" i="1"/>
  <c r="BU369" i="1"/>
  <c r="BU353" i="1"/>
  <c r="BU337" i="1"/>
  <c r="BU325" i="1"/>
  <c r="BU305" i="1"/>
  <c r="BU289" i="1"/>
  <c r="BX372" i="1"/>
  <c r="BV366" i="1"/>
  <c r="BV362" i="1"/>
  <c r="BU362" i="1"/>
  <c r="BX360" i="1"/>
  <c r="BX344" i="1"/>
  <c r="BV330" i="1"/>
  <c r="BU330" i="1"/>
  <c r="BX324" i="1"/>
  <c r="BV328" i="1"/>
  <c r="BU328" i="1"/>
  <c r="BX320" i="1"/>
  <c r="BV318" i="1"/>
  <c r="BV314" i="1"/>
  <c r="BU314" i="1"/>
  <c r="BX312" i="1"/>
  <c r="BV306" i="1"/>
  <c r="BU306" i="1"/>
  <c r="BV290" i="1"/>
  <c r="BU290" i="1"/>
  <c r="BV282" i="1"/>
  <c r="BU282" i="1"/>
  <c r="BU274" i="1"/>
  <c r="BV274" i="1"/>
  <c r="BV270" i="1"/>
  <c r="BU270" i="1"/>
  <c r="BU366" i="1"/>
  <c r="BU334" i="1"/>
  <c r="BU318" i="1"/>
  <c r="BU302" i="1"/>
  <c r="BU286" i="1"/>
  <c r="BX364" i="1"/>
  <c r="BX352" i="1"/>
  <c r="BV350" i="1"/>
  <c r="BV342" i="1"/>
  <c r="BX336" i="1"/>
  <c r="BX373" i="1"/>
  <c r="BU371" i="1"/>
  <c r="BV371" i="1"/>
  <c r="BX369" i="1"/>
  <c r="BV367" i="1"/>
  <c r="BU367" i="1"/>
  <c r="BX365" i="1"/>
  <c r="BU363" i="1"/>
  <c r="BV363" i="1"/>
  <c r="BX361" i="1"/>
  <c r="BV359" i="1"/>
  <c r="BU359" i="1"/>
  <c r="BX357" i="1"/>
  <c r="BV355" i="1"/>
  <c r="BU355" i="1"/>
  <c r="BX353" i="1"/>
  <c r="BU351" i="1"/>
  <c r="BV351" i="1"/>
  <c r="BX349" i="1"/>
  <c r="BU347" i="1"/>
  <c r="BV347" i="1"/>
  <c r="BX345" i="1"/>
  <c r="BU343" i="1"/>
  <c r="BV343" i="1"/>
  <c r="BX341" i="1"/>
  <c r="BU339" i="1"/>
  <c r="BV339" i="1"/>
  <c r="BX337" i="1"/>
  <c r="BV335" i="1"/>
  <c r="BU335" i="1"/>
  <c r="BX333" i="1"/>
  <c r="BU331" i="1"/>
  <c r="BV331" i="1"/>
  <c r="BX329" i="1"/>
  <c r="BV323" i="1"/>
  <c r="BU323" i="1"/>
  <c r="BX325" i="1"/>
  <c r="BU319" i="1"/>
  <c r="BV319" i="1"/>
  <c r="BX317" i="1"/>
  <c r="BU315" i="1"/>
  <c r="BV315" i="1"/>
  <c r="BX313" i="1"/>
  <c r="BU311" i="1"/>
  <c r="BV311" i="1"/>
  <c r="BX309" i="1"/>
  <c r="BU307" i="1"/>
  <c r="BV307" i="1"/>
  <c r="BX305" i="1"/>
  <c r="BX301" i="1"/>
  <c r="BU299" i="1"/>
  <c r="BV299" i="1"/>
  <c r="BX297" i="1"/>
  <c r="BV295" i="1"/>
  <c r="BU295" i="1"/>
  <c r="BX293" i="1"/>
  <c r="BV291" i="1"/>
  <c r="BU291" i="1"/>
  <c r="BX289" i="1"/>
  <c r="BU287" i="1"/>
  <c r="BV287" i="1"/>
  <c r="BX285" i="1"/>
  <c r="BU283" i="1"/>
  <c r="BV283" i="1"/>
  <c r="BX281" i="1"/>
  <c r="BU279" i="1"/>
  <c r="BV279" i="1"/>
  <c r="BX277" i="1"/>
  <c r="BV275" i="1"/>
  <c r="BX273" i="1"/>
  <c r="BV271" i="1"/>
  <c r="BX269" i="1"/>
  <c r="BV267" i="1"/>
  <c r="BX265" i="1"/>
  <c r="BV23" i="1"/>
  <c r="BX21" i="1"/>
  <c r="BV19" i="1"/>
  <c r="BX17" i="1"/>
  <c r="BV15" i="1"/>
  <c r="BU365" i="1"/>
  <c r="BU349" i="1"/>
  <c r="BU333" i="1"/>
  <c r="BU317" i="1"/>
  <c r="BU301" i="1"/>
  <c r="BU285" i="1"/>
  <c r="BU266" i="1"/>
  <c r="BV370" i="1"/>
  <c r="BU370" i="1"/>
  <c r="BX368" i="1"/>
  <c r="BV358" i="1"/>
  <c r="BU364" i="1"/>
  <c r="BU348" i="1"/>
  <c r="BU332" i="1"/>
  <c r="BU316" i="1"/>
  <c r="BV368" i="1"/>
  <c r="BU368" i="1"/>
  <c r="BV352" i="1"/>
  <c r="BU352" i="1"/>
  <c r="BV344" i="1"/>
  <c r="BU344" i="1"/>
  <c r="BV320" i="1"/>
  <c r="BU320" i="1"/>
  <c r="BV312" i="1"/>
  <c r="BU312" i="1"/>
  <c r="BX310" i="1"/>
  <c r="BV308" i="1"/>
  <c r="BX306" i="1"/>
  <c r="BV304" i="1"/>
  <c r="BU304" i="1"/>
  <c r="BX302" i="1"/>
  <c r="BX298" i="1"/>
  <c r="BV296" i="1"/>
  <c r="BU296" i="1"/>
  <c r="BX294" i="1"/>
  <c r="BV292" i="1"/>
  <c r="BX290" i="1"/>
  <c r="BV288" i="1"/>
  <c r="BU288" i="1"/>
  <c r="BX286" i="1"/>
  <c r="BV284" i="1"/>
  <c r="BX282" i="1"/>
  <c r="BV280" i="1"/>
  <c r="BU280" i="1"/>
  <c r="BX278" i="1"/>
  <c r="BV276" i="1"/>
  <c r="BX274" i="1"/>
  <c r="BV272" i="1"/>
  <c r="BU272" i="1"/>
  <c r="BX270" i="1"/>
  <c r="BV268" i="1"/>
  <c r="BU268" i="1"/>
  <c r="BX266" i="1"/>
  <c r="BV264" i="1"/>
  <c r="BU361" i="1"/>
  <c r="BU345" i="1"/>
  <c r="BU329" i="1"/>
  <c r="BU313" i="1"/>
  <c r="BU297" i="1"/>
  <c r="BU281" i="1"/>
  <c r="BV360" i="1"/>
  <c r="BU360" i="1"/>
  <c r="BV336" i="1"/>
  <c r="BU336" i="1"/>
  <c r="BU13" i="1"/>
  <c r="BU358" i="1"/>
  <c r="BU342" i="1"/>
  <c r="BU310" i="1"/>
  <c r="BU294" i="1"/>
  <c r="BU278" i="1"/>
  <c r="BU265" i="1"/>
  <c r="BV265" i="1"/>
  <c r="BV21" i="1"/>
  <c r="BU373" i="1"/>
  <c r="BU357" i="1"/>
  <c r="BU341" i="1"/>
  <c r="BU309" i="1"/>
  <c r="BU293" i="1"/>
  <c r="BU276" i="1"/>
  <c r="BX22" i="1"/>
  <c r="BX18" i="1"/>
  <c r="BX14" i="1"/>
  <c r="BV16" i="1"/>
  <c r="BV18" i="1"/>
  <c r="BV20" i="1"/>
</calcChain>
</file>

<file path=xl/sharedStrings.xml><?xml version="1.0" encoding="utf-8"?>
<sst xmlns="http://schemas.openxmlformats.org/spreadsheetml/2006/main" count="4075" uniqueCount="410">
  <si>
    <t>№ образца</t>
  </si>
  <si>
    <t>порода</t>
  </si>
  <si>
    <t>SiO2</t>
  </si>
  <si>
    <t>TiO2</t>
  </si>
  <si>
    <t>Al2O3</t>
  </si>
  <si>
    <t>FeO</t>
  </si>
  <si>
    <t>MgO</t>
  </si>
  <si>
    <t>MnO</t>
  </si>
  <si>
    <t>CaO</t>
  </si>
  <si>
    <t>NiO</t>
  </si>
  <si>
    <t>Na2O</t>
  </si>
  <si>
    <t>K2O</t>
  </si>
  <si>
    <t>SrO</t>
  </si>
  <si>
    <t>BaO</t>
  </si>
  <si>
    <t>P2O5</t>
  </si>
  <si>
    <t>F</t>
  </si>
  <si>
    <t>Zr</t>
  </si>
  <si>
    <t>Nb</t>
  </si>
  <si>
    <t>Y</t>
  </si>
  <si>
    <t>V</t>
  </si>
  <si>
    <t>Cl</t>
  </si>
  <si>
    <t>Total</t>
  </si>
  <si>
    <t>087Rb_str</t>
  </si>
  <si>
    <t>088Sr</t>
  </si>
  <si>
    <t>090Zr</t>
  </si>
  <si>
    <t>140Ce</t>
  </si>
  <si>
    <t>149Sm</t>
  </si>
  <si>
    <t>158Gd</t>
  </si>
  <si>
    <t>178Hf</t>
  </si>
  <si>
    <t>232Th</t>
  </si>
  <si>
    <t>238U</t>
  </si>
  <si>
    <t>181Ta</t>
  </si>
  <si>
    <t>163Dy</t>
  </si>
  <si>
    <t>143Nd</t>
  </si>
  <si>
    <t>139La</t>
  </si>
  <si>
    <t>093Nb</t>
  </si>
  <si>
    <t>089Y</t>
  </si>
  <si>
    <t>051V</t>
  </si>
  <si>
    <t>047Ti</t>
  </si>
  <si>
    <t>007Li</t>
  </si>
  <si>
    <t>174Yb str</t>
  </si>
  <si>
    <t>Sm/Ybn</t>
  </si>
  <si>
    <t>Sm/Lan</t>
  </si>
  <si>
    <t>Y/Ho</t>
  </si>
  <si>
    <t>La/Ybn</t>
  </si>
  <si>
    <t>Nb/Ta</t>
  </si>
  <si>
    <t>Pr</t>
  </si>
  <si>
    <t xml:space="preserve">153Eu </t>
  </si>
  <si>
    <t>Tb</t>
  </si>
  <si>
    <t>Ho</t>
  </si>
  <si>
    <t xml:space="preserve">167Er </t>
  </si>
  <si>
    <t>Tm</t>
  </si>
  <si>
    <t>175Lu</t>
  </si>
  <si>
    <t>источник</t>
  </si>
  <si>
    <t>нормировка</t>
  </si>
  <si>
    <t>Fe2O3</t>
  </si>
  <si>
    <t>Pyroxenite</t>
  </si>
  <si>
    <t>Pnx/Mltg</t>
  </si>
  <si>
    <t>25MN</t>
  </si>
  <si>
    <t>Melteigite</t>
  </si>
  <si>
    <t>Ijolite</t>
  </si>
  <si>
    <t>Nepheline synenite</t>
  </si>
  <si>
    <t>J. Hode Vuorinen et al. / Lithos 81 (2005) 55–77</t>
  </si>
  <si>
    <t>J. Hode Vuorinen et al. / Lithos 81 (2005) 55–79</t>
  </si>
  <si>
    <t>J. Hode Vuorinen et al. / Lithos 81 (2005) 55–81</t>
  </si>
  <si>
    <t>J. Hode Vuorinen et al. / Lithos 81 (2005) 55–83</t>
  </si>
  <si>
    <t>J. Hode Vuorinen et al. / Lithos 81 (2005) 55–85</t>
  </si>
  <si>
    <t>09MN</t>
  </si>
  <si>
    <t>09MNa</t>
  </si>
  <si>
    <t>33IN</t>
  </si>
  <si>
    <t>Ti-andradite</t>
  </si>
  <si>
    <t>J. Hode Vuorinen et al. / Lithos 81 (2005) 55–86</t>
  </si>
  <si>
    <t>J. Hode Vuorinen et al. / Lithos 81 (2005) 55–87</t>
  </si>
  <si>
    <t>J. Hode Vuorinen et al. / Lithos 81 (2005) 55–88</t>
  </si>
  <si>
    <t>J. Hode Vuorinen et al. / Lithos 81 (2005) 55–89</t>
  </si>
  <si>
    <t>J. Hode Vuorinen et al. / Lithos 81 (2005) 55–90</t>
  </si>
  <si>
    <t>J. Hode Vuorinen et al. / Lithos 81 (2005) 55–91</t>
  </si>
  <si>
    <t>J. Hode Vuorinen et al. / Lithos 81 (2005) 55–92</t>
  </si>
  <si>
    <t>J. Hode Vuorinen et al. / Lithos 81 (2005) 55–93</t>
  </si>
  <si>
    <t>J. Hode Vuorinen et al. / Lithos 81 (2005) 55–94</t>
  </si>
  <si>
    <t>J. Hode Vuorinen et al. / Lithos 81 (2005) 55–95</t>
  </si>
  <si>
    <t>J. Hode Vuorinen et al. / Lithos 81 (2005) 55–96</t>
  </si>
  <si>
    <t>TMZ22</t>
  </si>
  <si>
    <t>TMZ20</t>
  </si>
  <si>
    <t>TMZ23c</t>
  </si>
  <si>
    <t>TMZ25</t>
  </si>
  <si>
    <t>TMZ12</t>
  </si>
  <si>
    <t>Glimmerite</t>
  </si>
  <si>
    <t>Shonkinite</t>
  </si>
  <si>
    <r>
      <t>Mean (</t>
    </r>
    <r>
      <rPr>
        <b/>
        <i/>
        <sz val="7"/>
        <color rgb="FF2E2E2E"/>
        <rFont val="Georgia"/>
        <family val="1"/>
        <charset val="204"/>
      </rPr>
      <t>n</t>
    </r>
    <r>
      <rPr>
        <b/>
        <sz val="7"/>
        <color rgb="FF2E2E2E"/>
        <rFont val="Georgia"/>
        <family val="1"/>
        <charset val="204"/>
      </rPr>
      <t> = 8)</t>
    </r>
  </si>
  <si>
    <r>
      <t>Mean (</t>
    </r>
    <r>
      <rPr>
        <b/>
        <i/>
        <sz val="7"/>
        <color rgb="FF2E2E2E"/>
        <rFont val="Georgia"/>
        <family val="1"/>
        <charset val="204"/>
      </rPr>
      <t>n</t>
    </r>
    <r>
      <rPr>
        <b/>
        <sz val="7"/>
        <color rgb="FF2E2E2E"/>
        <rFont val="Georgia"/>
        <family val="1"/>
        <charset val="204"/>
      </rPr>
      <t> = 5)</t>
    </r>
  </si>
  <si>
    <t>LREE-rich rim</t>
  </si>
  <si>
    <r>
      <t>Mean (</t>
    </r>
    <r>
      <rPr>
        <b/>
        <i/>
        <sz val="7"/>
        <color rgb="FF2E2E2E"/>
        <rFont val="Georgia"/>
        <family val="1"/>
        <charset val="204"/>
      </rPr>
      <t>n</t>
    </r>
    <r>
      <rPr>
        <b/>
        <sz val="7"/>
        <color rgb="FF2E2E2E"/>
        <rFont val="Georgia"/>
        <family val="1"/>
        <charset val="204"/>
      </rPr>
      <t> = 6)</t>
    </r>
  </si>
  <si>
    <r>
      <t>LREE-rich rim (</t>
    </r>
    <r>
      <rPr>
        <b/>
        <i/>
        <sz val="7"/>
        <color rgb="FF2E2E2E"/>
        <rFont val="Georgia"/>
        <family val="1"/>
        <charset val="204"/>
      </rPr>
      <t>n</t>
    </r>
    <r>
      <rPr>
        <b/>
        <sz val="7"/>
        <color rgb="FF2E2E2E"/>
        <rFont val="Georgia"/>
        <family val="1"/>
        <charset val="204"/>
      </rPr>
      <t> = 2)</t>
    </r>
  </si>
  <si>
    <t>Mean (n = 6)</t>
  </si>
  <si>
    <t>b.d.l.</t>
  </si>
  <si>
    <t>B</t>
  </si>
  <si>
    <t>Zn</t>
  </si>
  <si>
    <t>Olivine-shonkinite</t>
  </si>
  <si>
    <t>Granular neph. syenite</t>
  </si>
  <si>
    <t>Foyaitic nepheline syenite</t>
  </si>
  <si>
    <t>TMZ23b</t>
  </si>
  <si>
    <t>TMZ126</t>
  </si>
  <si>
    <t>TMZ221</t>
  </si>
  <si>
    <t>Marks et al.2008 b</t>
  </si>
  <si>
    <t>Marks et al 2008</t>
  </si>
  <si>
    <t>I-core</t>
  </si>
  <si>
    <t>I-rim</t>
  </si>
  <si>
    <t>II</t>
  </si>
  <si>
    <t>III</t>
  </si>
  <si>
    <t>chen et al 2016</t>
  </si>
  <si>
    <t>Melteigites</t>
  </si>
  <si>
    <t>Ijolites</t>
  </si>
  <si>
    <t>2092-761-763 M</t>
  </si>
  <si>
    <t>01-151</t>
  </si>
  <si>
    <t>2092-761-763 I</t>
  </si>
  <si>
    <t>2095-226-231</t>
  </si>
  <si>
    <t>doroshkevich et al 2017</t>
  </si>
  <si>
    <t>ultramafic lamprophyres</t>
  </si>
  <si>
    <t>aillikite</t>
  </si>
  <si>
    <t>L60</t>
  </si>
  <si>
    <t>gm4</t>
  </si>
  <si>
    <t>core</t>
  </si>
  <si>
    <t>rim</t>
  </si>
  <si>
    <t>L66</t>
  </si>
  <si>
    <t>gm2</t>
  </si>
  <si>
    <t>ST162II</t>
  </si>
  <si>
    <t>gm1</t>
  </si>
  <si>
    <t>core1</t>
  </si>
  <si>
    <t>core2</t>
  </si>
  <si>
    <t>ST164</t>
  </si>
  <si>
    <t>gm8</t>
  </si>
  <si>
    <t>damtjernite</t>
  </si>
  <si>
    <t>ST140A</t>
  </si>
  <si>
    <t>L70</t>
  </si>
  <si>
    <t>ST188A</t>
  </si>
  <si>
    <t>gm3</t>
  </si>
  <si>
    <t>rim1</t>
  </si>
  <si>
    <t>rim2</t>
  </si>
  <si>
    <t>Hf</t>
  </si>
  <si>
    <t>tappe et.al. 2006</t>
  </si>
  <si>
    <t>Henritermierite</t>
  </si>
  <si>
    <t>Blythite</t>
  </si>
  <si>
    <t>Katoite</t>
  </si>
  <si>
    <t>FCa garnet</t>
  </si>
  <si>
    <t>FMn garnet</t>
  </si>
  <si>
    <t>Yttrogarnet</t>
  </si>
  <si>
    <t>Kimzeyite</t>
  </si>
  <si>
    <t>Kimzeyite-Fe</t>
  </si>
  <si>
    <t>Tin garnet</t>
  </si>
  <si>
    <t>Schorlomite</t>
  </si>
  <si>
    <t>Schorlomite-Al</t>
  </si>
  <si>
    <t>Morimotoite</t>
  </si>
  <si>
    <t>NaTi garnet</t>
  </si>
  <si>
    <t>Morimotoite-Mg</t>
  </si>
  <si>
    <t>Morimotoite-Fe</t>
  </si>
  <si>
    <t>Majorite</t>
  </si>
  <si>
    <t>Sc garnet</t>
  </si>
  <si>
    <t>Goldmanite</t>
  </si>
  <si>
    <t>Yamatoite</t>
  </si>
  <si>
    <t>Uvarovite</t>
  </si>
  <si>
    <t>Knorringite</t>
  </si>
  <si>
    <t>Spessartine</t>
  </si>
  <si>
    <t>Pyrope</t>
  </si>
  <si>
    <t>Almandine</t>
  </si>
  <si>
    <t>Grossular</t>
  </si>
  <si>
    <t>Andradite</t>
  </si>
  <si>
    <t>Calderite</t>
  </si>
  <si>
    <t>Skiagite</t>
  </si>
  <si>
    <t>Khoharite</t>
  </si>
  <si>
    <t>Schor(sum)</t>
  </si>
  <si>
    <t>Kimzeite(sum)</t>
  </si>
  <si>
    <t>Morimotoite(sum)</t>
  </si>
  <si>
    <t/>
  </si>
  <si>
    <t>average</t>
  </si>
  <si>
    <t>33.90 </t>
  </si>
  <si>
    <t>6.91 </t>
  </si>
  <si>
    <t>1.28 </t>
  </si>
  <si>
    <t>21.35 </t>
  </si>
  <si>
    <t>2.28 </t>
  </si>
  <si>
    <t>0.66 </t>
  </si>
  <si>
    <t>0.42 </t>
  </si>
  <si>
    <t>33.17 </t>
  </si>
  <si>
    <t>0.09 </t>
  </si>
  <si>
    <t>0.07 </t>
  </si>
  <si>
    <t>100.13 </t>
  </si>
  <si>
    <t>33.29 </t>
  </si>
  <si>
    <t>7.77 </t>
  </si>
  <si>
    <t>1.06 </t>
  </si>
  <si>
    <t>21.12 </t>
  </si>
  <si>
    <t>2.72 </t>
  </si>
  <si>
    <t>0.67 </t>
  </si>
  <si>
    <t>0.57 </t>
  </si>
  <si>
    <t>32.62 </t>
  </si>
  <si>
    <t>0.12 </t>
  </si>
  <si>
    <t>0.08 </t>
  </si>
  <si>
    <t>100.02 </t>
  </si>
  <si>
    <t>32.77 </t>
  </si>
  <si>
    <t>7.95 </t>
  </si>
  <si>
    <t>1.12 </t>
  </si>
  <si>
    <t>22.07 </t>
  </si>
  <si>
    <t>1.69 </t>
  </si>
  <si>
    <t>0.63 </t>
  </si>
  <si>
    <t>32.79 </t>
  </si>
  <si>
    <t>0.19 </t>
  </si>
  <si>
    <t>0.10 </t>
  </si>
  <si>
    <t>99.97 </t>
  </si>
  <si>
    <t>34.13 </t>
  </si>
  <si>
    <t>6.39 </t>
  </si>
  <si>
    <t>1.05 </t>
  </si>
  <si>
    <t>21.83 </t>
  </si>
  <si>
    <t>2.29 </t>
  </si>
  <si>
    <t>0.61 </t>
  </si>
  <si>
    <t>32.91 </t>
  </si>
  <si>
    <t>0.20 </t>
  </si>
  <si>
    <t>100.09 </t>
  </si>
  <si>
    <t>33.23 </t>
  </si>
  <si>
    <t>6.70 </t>
  </si>
  <si>
    <t>1.01 </t>
  </si>
  <si>
    <t>23.14 </t>
  </si>
  <si>
    <t>1.99 </t>
  </si>
  <si>
    <t>0.62 </t>
  </si>
  <si>
    <t>0.60 </t>
  </si>
  <si>
    <t>32.45 </t>
  </si>
  <si>
    <t>0.13 </t>
  </si>
  <si>
    <t>0.21 </t>
  </si>
  <si>
    <t>100.07 </t>
  </si>
  <si>
    <t>32.22 </t>
  </si>
  <si>
    <t>10.36 </t>
  </si>
  <si>
    <t>1.87 </t>
  </si>
  <si>
    <t>18.17 </t>
  </si>
  <si>
    <t>2.30 </t>
  </si>
  <si>
    <t>1.27 </t>
  </si>
  <si>
    <t>0.46 </t>
  </si>
  <si>
    <t>33.22 </t>
  </si>
  <si>
    <t>0.06 </t>
  </si>
  <si>
    <t>0.04 </t>
  </si>
  <si>
    <t>24.76 </t>
  </si>
  <si>
    <t>18.84 </t>
  </si>
  <si>
    <t>1.65 </t>
  </si>
  <si>
    <t>17.39 </t>
  </si>
  <si>
    <t>2.66 </t>
  </si>
  <si>
    <t>1.46 </t>
  </si>
  <si>
    <t>0.35 </t>
  </si>
  <si>
    <t>31.87 </t>
  </si>
  <si>
    <t>0.15 </t>
  </si>
  <si>
    <t>1.00 </t>
  </si>
  <si>
    <t>33.60 </t>
  </si>
  <si>
    <t>10.28 </t>
  </si>
  <si>
    <t>0.79 </t>
  </si>
  <si>
    <t>16.65 </t>
  </si>
  <si>
    <t>4.30 </t>
  </si>
  <si>
    <t>0.33 </t>
  </si>
  <si>
    <t>0.30 </t>
  </si>
  <si>
    <t>33.04 </t>
  </si>
  <si>
    <t>0.45 </t>
  </si>
  <si>
    <t>0.31 </t>
  </si>
  <si>
    <t>100.05 </t>
  </si>
  <si>
    <t>35.56 </t>
  </si>
  <si>
    <t>3.00 </t>
  </si>
  <si>
    <t>0.98 </t>
  </si>
  <si>
    <t>25.36 </t>
  </si>
  <si>
    <t>0.90 </t>
  </si>
  <si>
    <t>0.25 </t>
  </si>
  <si>
    <t>33.53 </t>
  </si>
  <si>
    <t>0.17 </t>
  </si>
  <si>
    <t>0.05 </t>
  </si>
  <si>
    <t>99.96 </t>
  </si>
  <si>
    <t>34.62 </t>
  </si>
  <si>
    <t>3.45 </t>
  </si>
  <si>
    <t>3.24 </t>
  </si>
  <si>
    <t>23.52 </t>
  </si>
  <si>
    <t>1.55 </t>
  </si>
  <si>
    <t>0.27 </t>
  </si>
  <si>
    <t>0.89 </t>
  </si>
  <si>
    <t>32.35 </t>
  </si>
  <si>
    <t>0.82 </t>
  </si>
  <si>
    <t>100.84 </t>
  </si>
  <si>
    <t>34.37 </t>
  </si>
  <si>
    <t>4.20 </t>
  </si>
  <si>
    <t>3.50 </t>
  </si>
  <si>
    <t>21.68 </t>
  </si>
  <si>
    <t>1.77 </t>
  </si>
  <si>
    <t>1.54 </t>
  </si>
  <si>
    <t>31.70 </t>
  </si>
  <si>
    <t>0.23 </t>
  </si>
  <si>
    <t>1.09 </t>
  </si>
  <si>
    <t>100.36 </t>
  </si>
  <si>
    <t>4.18 </t>
  </si>
  <si>
    <t>3.58 </t>
  </si>
  <si>
    <t>21.98 </t>
  </si>
  <si>
    <t>1.59 </t>
  </si>
  <si>
    <t>0.26 </t>
  </si>
  <si>
    <t>1.52 </t>
  </si>
  <si>
    <t>31.44 </t>
  </si>
  <si>
    <t>0.22 </t>
  </si>
  <si>
    <t>1.10 </t>
  </si>
  <si>
    <t>99.79 </t>
  </si>
  <si>
    <t>aillikite (UML) dyke</t>
  </si>
  <si>
    <t>gm</t>
  </si>
  <si>
    <t>tappe et.al. 2009</t>
  </si>
  <si>
    <t>Zr/Hf</t>
  </si>
  <si>
    <t>Tieshan skarn</t>
  </si>
  <si>
    <t>FeOT</t>
  </si>
  <si>
    <t>ZrO2</t>
  </si>
  <si>
    <t>skarn</t>
  </si>
  <si>
    <t>1</t>
  </si>
  <si>
    <t>ZK6-1-1</t>
  </si>
  <si>
    <t>b,d,</t>
  </si>
  <si>
    <t>2</t>
  </si>
  <si>
    <t>3</t>
  </si>
  <si>
    <t>4</t>
  </si>
  <si>
    <t>5</t>
  </si>
  <si>
    <t>6</t>
  </si>
  <si>
    <t>7</t>
  </si>
  <si>
    <t>ZK6-1-2</t>
  </si>
  <si>
    <t>ZK6-1-3</t>
  </si>
  <si>
    <t>8</t>
  </si>
  <si>
    <t>9</t>
  </si>
  <si>
    <t>10</t>
  </si>
  <si>
    <t>ZK6-1-5</t>
  </si>
  <si>
    <t>Aillikite</t>
  </si>
  <si>
    <t>Mela-aillikite</t>
  </si>
  <si>
    <t>Zr-Srl</t>
  </si>
  <si>
    <t>Srl</t>
  </si>
  <si>
    <t>Kim</t>
  </si>
  <si>
    <t>Adr</t>
  </si>
  <si>
    <t>Q37</t>
  </si>
  <si>
    <t>Q39</t>
  </si>
  <si>
    <t>Q18</t>
  </si>
  <si>
    <t>Q28</t>
  </si>
  <si>
    <t>gm6</t>
  </si>
  <si>
    <t>n.a.</t>
  </si>
  <si>
    <t>tappe 2004</t>
  </si>
  <si>
    <t>Африканда</t>
  </si>
  <si>
    <t>AF-04-1-1</t>
  </si>
  <si>
    <t>silicocarbonatite</t>
  </si>
  <si>
    <t>n.d.</t>
  </si>
  <si>
    <t>AF-04-1-2</t>
  </si>
  <si>
    <t>AF-04-1-3</t>
  </si>
  <si>
    <t>AF-04-2-1</t>
  </si>
  <si>
    <t>AF-04-2-2</t>
  </si>
  <si>
    <t>AF-04-2-3</t>
  </si>
  <si>
    <t>AF-04-4-1</t>
  </si>
  <si>
    <t>AF-04-4-2</t>
  </si>
  <si>
    <t>AF-04-4-3</t>
  </si>
  <si>
    <t>AF-04-5-1</t>
  </si>
  <si>
    <t>AF-04-5-2</t>
  </si>
  <si>
    <t>AF-04-5-3</t>
  </si>
  <si>
    <t>AF-04-6-1</t>
  </si>
  <si>
    <t>AF-04-6-2</t>
  </si>
  <si>
    <t>AF-04-6-3</t>
  </si>
  <si>
    <t>AF-04-7-1</t>
  </si>
  <si>
    <t>AF-04-7-2</t>
  </si>
  <si>
    <t>AF-04-7-3</t>
  </si>
  <si>
    <t>AF-04-8-1</t>
  </si>
  <si>
    <t>AF-04-8-2</t>
  </si>
  <si>
    <t>Cr2O3</t>
  </si>
  <si>
    <t>skarn Maronia</t>
  </si>
  <si>
    <t>Katerinopoulou,2009</t>
  </si>
  <si>
    <t>M-1</t>
  </si>
  <si>
    <t>M-2</t>
  </si>
  <si>
    <t>M-3</t>
  </si>
  <si>
    <t>M-4</t>
  </si>
  <si>
    <t>M-5</t>
  </si>
  <si>
    <t>M-6</t>
  </si>
  <si>
    <t>M-7</t>
  </si>
  <si>
    <t>M-8</t>
  </si>
  <si>
    <t>M-9</t>
  </si>
  <si>
    <t>M-10</t>
  </si>
  <si>
    <t>M-11</t>
  </si>
  <si>
    <t>M-12</t>
  </si>
  <si>
    <t>M-13</t>
  </si>
  <si>
    <t>M-14</t>
  </si>
  <si>
    <t>FeO tot</t>
  </si>
  <si>
    <t>Platt R. G., Mitchell R. H. The Marathon Dikes; I, Zirconium-rich titanian garnets and manganoan magnesian ulvoespinel-magnetite spinels //American Mineralogist. – 1979. – Т. 64. – №. 5-6. – С. 546-550.</t>
  </si>
  <si>
    <t>Platt,Mitchel,1979</t>
  </si>
  <si>
    <t>lamprophyre</t>
  </si>
  <si>
    <t>Henmi et al,1996</t>
  </si>
  <si>
    <t>Fuka,Japan</t>
  </si>
  <si>
    <t>CORE 1</t>
  </si>
  <si>
    <t>RIM 1</t>
  </si>
  <si>
    <t>CORE 2</t>
  </si>
  <si>
    <t>RIM 2</t>
  </si>
  <si>
    <t xml:space="preserve">RIM </t>
  </si>
  <si>
    <t>carbonatite</t>
  </si>
  <si>
    <t>Polino,Italy</t>
  </si>
  <si>
    <t>Lupini,1992</t>
  </si>
  <si>
    <t>Milton,1961</t>
  </si>
  <si>
    <t>Magnet Cove</t>
  </si>
  <si>
    <t>Belaya Zima</t>
  </si>
  <si>
    <t>Oka</t>
  </si>
  <si>
    <t>Calcitic Iolite</t>
  </si>
  <si>
    <t>Marks et al.2008  Tamazeght</t>
  </si>
  <si>
    <t>Alno</t>
  </si>
  <si>
    <t>пр</t>
  </si>
  <si>
    <t>Alno island,Sweden</t>
  </si>
  <si>
    <t>Ailic Bay,Labrador</t>
  </si>
  <si>
    <t>Tikiusaaq,West Greenland</t>
  </si>
  <si>
    <t>Torngat,Labrador</t>
  </si>
  <si>
    <t>Marathon dyke,Ontario</t>
  </si>
  <si>
    <t>Uher,2015</t>
  </si>
  <si>
    <t>Vysoka´-Zlatno</t>
  </si>
  <si>
    <t>skarn.</t>
  </si>
  <si>
    <t>Munno,1980</t>
  </si>
  <si>
    <t>Stromboli</t>
  </si>
  <si>
    <t>Anguillara</t>
  </si>
  <si>
    <t>Schingaro,2001</t>
  </si>
  <si>
    <t>melilitic volcanic</t>
  </si>
  <si>
    <t>Schoschonitic basalt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</si>
</sst>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5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</font>
    <font>
      <sz val="11"/>
      <color theme="1"/>
      <name val="Calibri Light"/>
      <family val="2"/>
      <charset val="204"/>
    </font>
    <font>
      <b/>
      <sz val="10"/>
      <name val="Arial Cyr"/>
      <charset val="204"/>
    </font>
    <font>
      <sz val="8"/>
      <name val="Calibri"/>
      <family val="2"/>
      <scheme val="minor"/>
    </font>
    <font>
      <b/>
      <sz val="7"/>
      <color rgb="FF2E2E2E"/>
      <name val="Georgia"/>
      <family val="1"/>
      <charset val="204"/>
    </font>
    <font>
      <sz val="7"/>
      <color rgb="FF2E2E2E"/>
      <name val="Georgia"/>
      <family val="1"/>
      <charset val="204"/>
    </font>
    <font>
      <u/>
      <sz val="11"/>
      <color theme="10"/>
      <name val="Calibri"/>
      <family val="2"/>
      <scheme val="minor"/>
    </font>
    <font>
      <b/>
      <i/>
      <sz val="7"/>
      <color rgb="FF2E2E2E"/>
      <name val="Georgia"/>
      <family val="1"/>
      <charset val="204"/>
    </font>
    <font>
      <b/>
      <sz val="11"/>
      <color rgb="FF2A2A2A"/>
      <name val="Inherit"/>
    </font>
    <font>
      <sz val="11"/>
      <color rgb="FF2A2A2A"/>
      <name val="Inherit"/>
    </font>
    <font>
      <i/>
      <sz val="7"/>
      <color rgb="FF2E2E2E"/>
      <name val="Georgia"/>
      <family val="1"/>
      <charset val="204"/>
    </font>
    <font>
      <b/>
      <i/>
      <sz val="1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indexed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20"/>
      <color rgb="FFC0000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</font>
    <font>
      <sz val="8"/>
      <color rgb="FF333333"/>
      <name val="Segoe UI"/>
      <family val="2"/>
      <charset val="204"/>
    </font>
    <font>
      <sz val="1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FC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EBEBEB"/>
      </bottom>
      <diagonal/>
    </border>
    <border>
      <left/>
      <right/>
      <top style="medium">
        <color rgb="FFEBEBEB"/>
      </top>
      <bottom/>
      <diagonal/>
    </border>
    <border>
      <left/>
      <right/>
      <top/>
      <bottom style="medium">
        <color rgb="FFCFD5E4"/>
      </bottom>
      <diagonal/>
    </border>
    <border>
      <left/>
      <right/>
      <top style="medium">
        <color rgb="FFCFD5E4"/>
      </top>
      <bottom style="medium">
        <color rgb="FFCFD5E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6A6A6"/>
      </left>
      <right style="medium">
        <color rgb="FFD5D5D5"/>
      </right>
      <top style="medium">
        <color rgb="FFA6A6A6"/>
      </top>
      <bottom style="medium">
        <color rgb="FFA6A6A6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7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2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horizontal="center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7" fillId="0" borderId="2" xfId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9" fillId="6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top" wrapText="1"/>
    </xf>
    <xf numFmtId="0" fontId="9" fillId="6" borderId="4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12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7" xfId="0" applyBorder="1" applyAlignment="1">
      <alignment vertical="center"/>
    </xf>
    <xf numFmtId="0" fontId="12" fillId="0" borderId="0" xfId="0" applyFont="1" applyAlignment="1">
      <alignment horizontal="left"/>
    </xf>
    <xf numFmtId="0" fontId="13" fillId="0" borderId="8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0" fontId="14" fillId="0" borderId="0" xfId="0" applyNumberFormat="1" applyFont="1"/>
    <xf numFmtId="10" fontId="15" fillId="0" borderId="0" xfId="0" applyNumberFormat="1" applyFont="1"/>
    <xf numFmtId="0" fontId="16" fillId="0" borderId="0" xfId="0" applyFont="1" applyAlignment="1">
      <alignment vertic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16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/>
    <xf numFmtId="0" fontId="17" fillId="0" borderId="0" xfId="2"/>
    <xf numFmtId="0" fontId="17" fillId="0" borderId="0" xfId="2" applyFill="1" applyAlignment="1">
      <alignment horizontal="left"/>
    </xf>
    <xf numFmtId="49" fontId="17" fillId="0" borderId="0" xfId="2" applyNumberFormat="1" applyFill="1" applyAlignment="1">
      <alignment horizontal="left"/>
    </xf>
    <xf numFmtId="2" fontId="17" fillId="0" borderId="0" xfId="2" applyNumberFormat="1" applyFill="1" applyAlignment="1">
      <alignment horizontal="right"/>
    </xf>
    <xf numFmtId="2" fontId="17" fillId="0" borderId="0" xfId="2" applyNumberFormat="1" applyFill="1" applyBorder="1"/>
    <xf numFmtId="0" fontId="17" fillId="0" borderId="0" xfId="2" applyFill="1"/>
    <xf numFmtId="2" fontId="17" fillId="0" borderId="0" xfId="2" applyNumberFormat="1" applyFill="1"/>
    <xf numFmtId="0" fontId="17" fillId="0" borderId="0" xfId="2" applyAlignment="1">
      <alignment horizontal="left"/>
    </xf>
    <xf numFmtId="2" fontId="17" fillId="0" borderId="0" xfId="2" applyNumberFormat="1" applyAlignment="1">
      <alignment horizontal="right"/>
    </xf>
    <xf numFmtId="49" fontId="17" fillId="0" borderId="0" xfId="2" applyNumberFormat="1" applyAlignment="1">
      <alignment horizontal="left"/>
    </xf>
    <xf numFmtId="2" fontId="14" fillId="0" borderId="0" xfId="0" applyNumberFormat="1" applyFont="1"/>
    <xf numFmtId="2" fontId="14" fillId="0" borderId="0" xfId="0" applyNumberFormat="1" applyFont="1" applyAlignment="1">
      <alignment horizontal="righ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18" fillId="0" borderId="0" xfId="0" applyFont="1"/>
    <xf numFmtId="49" fontId="0" fillId="0" borderId="0" xfId="0" applyNumberFormat="1"/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10" borderId="10" xfId="0" applyFont="1" applyFill="1" applyBorder="1" applyAlignment="1">
      <alignment horizontal="center"/>
    </xf>
    <xf numFmtId="0" fontId="20" fillId="10" borderId="10" xfId="0" applyFont="1" applyFill="1" applyBorder="1" applyAlignment="1">
      <alignment horizontal="center"/>
    </xf>
    <xf numFmtId="2" fontId="21" fillId="0" borderId="10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/>
    </xf>
    <xf numFmtId="0" fontId="18" fillId="10" borderId="10" xfId="0" applyFont="1" applyFill="1" applyBorder="1"/>
    <xf numFmtId="0" fontId="22" fillId="0" borderId="0" xfId="0" applyFont="1"/>
    <xf numFmtId="0" fontId="14" fillId="0" borderId="0" xfId="0" applyFont="1"/>
    <xf numFmtId="0" fontId="5" fillId="0" borderId="0" xfId="0" applyFont="1" applyBorder="1" applyAlignment="1">
      <alignment horizontal="center" vertical="center" wrapText="1"/>
    </xf>
    <xf numFmtId="0" fontId="23" fillId="11" borderId="12" xfId="0" applyFont="1" applyFill="1" applyBorder="1" applyAlignment="1">
      <alignment horizontal="left" vertical="top" wrapText="1"/>
    </xf>
    <xf numFmtId="0" fontId="0" fillId="0" borderId="13" xfId="0" applyBorder="1"/>
    <xf numFmtId="0" fontId="24" fillId="8" borderId="0" xfId="0" applyFont="1" applyFill="1"/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9" fillId="10" borderId="9" xfId="0" applyFont="1" applyFill="1" applyBorder="1" applyAlignment="1">
      <alignment horizontal="center"/>
    </xf>
    <xf numFmtId="0" fontId="19" fillId="10" borderId="11" xfId="0" applyFont="1" applyFill="1" applyBorder="1" applyAlignment="1">
      <alignment horizontal="center"/>
    </xf>
  </cellXfs>
  <cellStyles count="3">
    <cellStyle name="Гиперссылка" xfId="1" builtinId="8"/>
    <cellStyle name="Обычный" xfId="0" builtinId="0"/>
    <cellStyle name="Обычный 2" xfId="2" xr:uid="{F5DF1902-28ED-4BF6-BFE7-CA0BEA179F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4493704003238?casa_token=CVkKDc4pK_sAAAAA:GSQLqdj200ePA2Iv0BGrM5pL2FJcSr_eV4q96_PGVHs2B4DHVEsfbQZWZlW7CYG6xMA4Fr8RU5w" TargetMode="External"/><Relationship Id="rId2" Type="http://schemas.openxmlformats.org/officeDocument/2006/relationships/hyperlink" Target="https://www.sciencedirect.com/science/article/pii/S0024493704003238?casa_token=CVkKDc4pK_sAAAAA:GSQLqdj200ePA2Iv0BGrM5pL2FJcSr_eV4q96_PGVHs2B4DHVEsfbQZWZlW7CYG6xMA4Fr8RU5w" TargetMode="External"/><Relationship Id="rId1" Type="http://schemas.openxmlformats.org/officeDocument/2006/relationships/hyperlink" Target="https://www.sciencedirect.com/science/article/pii/S0024493704003238?casa_token=CVkKDc4pK_sAAAAA:GSQLqdj200ePA2Iv0BGrM5pL2FJcSr_eV4q96_PGVHs2B4DHVEsfbQZWZlW7CYG6xMA4Fr8RU5w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ciencedirect.com/science/article/pii/S0024493704003238?casa_token=CVkKDc4pK_sAAAAA:GSQLqdj200ePA2Iv0BGrM5pL2FJcSr_eV4q96_PGVHs2B4DHVEsfbQZWZlW7CYG6xMA4Fr8RU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73"/>
  <sheetViews>
    <sheetView tabSelected="1" topLeftCell="AE1" zoomScale="85" zoomScaleNormal="85" workbookViewId="0">
      <pane ySplit="1" topLeftCell="A287" activePane="bottomLeft" state="frozen"/>
      <selection pane="bottomLeft" activeCell="CZ321" sqref="CZ321"/>
    </sheetView>
  </sheetViews>
  <sheetFormatPr defaultRowHeight="14.5"/>
  <cols>
    <col min="1" max="1" width="13.1796875" customWidth="1"/>
    <col min="3" max="3" width="13.36328125" customWidth="1"/>
    <col min="4" max="4" width="26.08984375" customWidth="1"/>
    <col min="11" max="12" width="9.08984375" customWidth="1"/>
    <col min="16" max="16" width="10.54296875" bestFit="1" customWidth="1"/>
    <col min="85" max="85" width="10.6328125" customWidth="1"/>
  </cols>
  <sheetData>
    <row r="1" spans="1:111" ht="15.5">
      <c r="A1" s="1" t="s">
        <v>0</v>
      </c>
      <c r="B1" s="1" t="s">
        <v>1</v>
      </c>
      <c r="D1" s="1" t="s">
        <v>53</v>
      </c>
      <c r="E1" s="1"/>
      <c r="F1" s="1"/>
      <c r="G1" s="2" t="s">
        <v>2</v>
      </c>
      <c r="H1" s="2" t="s">
        <v>3</v>
      </c>
      <c r="I1" s="2" t="s">
        <v>4</v>
      </c>
      <c r="J1" s="2" t="s">
        <v>55</v>
      </c>
      <c r="K1" s="2" t="s">
        <v>5</v>
      </c>
      <c r="L1" s="2" t="s">
        <v>374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357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139</v>
      </c>
      <c r="AC1" s="2" t="s">
        <v>20</v>
      </c>
      <c r="AD1" s="2" t="s">
        <v>21</v>
      </c>
      <c r="AE1" s="3" t="s">
        <v>22</v>
      </c>
      <c r="AF1" s="3" t="s">
        <v>23</v>
      </c>
      <c r="AG1" s="3" t="s">
        <v>24</v>
      </c>
      <c r="AH1" s="4" t="s">
        <v>34</v>
      </c>
      <c r="AI1" s="4" t="s">
        <v>25</v>
      </c>
      <c r="AJ1" s="4" t="s">
        <v>46</v>
      </c>
      <c r="AK1" s="4" t="s">
        <v>33</v>
      </c>
      <c r="AL1" s="4" t="s">
        <v>26</v>
      </c>
      <c r="AM1" s="4" t="s">
        <v>47</v>
      </c>
      <c r="AN1" s="4" t="s">
        <v>27</v>
      </c>
      <c r="AO1" s="4" t="s">
        <v>48</v>
      </c>
      <c r="AP1" s="4" t="s">
        <v>32</v>
      </c>
      <c r="AQ1" s="4" t="s">
        <v>49</v>
      </c>
      <c r="AR1" s="4" t="s">
        <v>50</v>
      </c>
      <c r="AS1" s="4" t="s">
        <v>51</v>
      </c>
      <c r="AT1" s="4" t="s">
        <v>40</v>
      </c>
      <c r="AU1" s="4" t="s">
        <v>52</v>
      </c>
      <c r="AV1" s="3" t="s">
        <v>28</v>
      </c>
      <c r="AW1" s="3" t="s">
        <v>29</v>
      </c>
      <c r="AX1" s="3" t="s">
        <v>30</v>
      </c>
      <c r="AY1" s="3" t="s">
        <v>31</v>
      </c>
      <c r="AZ1" s="3" t="s">
        <v>97</v>
      </c>
      <c r="BA1" s="3" t="s">
        <v>35</v>
      </c>
      <c r="BB1" s="3" t="s">
        <v>36</v>
      </c>
      <c r="BC1" s="3" t="s">
        <v>37</v>
      </c>
      <c r="BD1" s="3" t="s">
        <v>38</v>
      </c>
      <c r="BE1" s="9" t="s">
        <v>96</v>
      </c>
      <c r="BF1" s="3" t="s">
        <v>39</v>
      </c>
      <c r="BG1" s="4" t="s">
        <v>34</v>
      </c>
      <c r="BH1" s="4" t="s">
        <v>25</v>
      </c>
      <c r="BI1" s="4" t="s">
        <v>46</v>
      </c>
      <c r="BJ1" s="4" t="s">
        <v>33</v>
      </c>
      <c r="BK1" s="4" t="s">
        <v>26</v>
      </c>
      <c r="BL1" s="4" t="s">
        <v>47</v>
      </c>
      <c r="BM1" s="4" t="s">
        <v>27</v>
      </c>
      <c r="BN1" s="4" t="s">
        <v>48</v>
      </c>
      <c r="BO1" s="4" t="s">
        <v>32</v>
      </c>
      <c r="BP1" s="4" t="s">
        <v>49</v>
      </c>
      <c r="BQ1" s="4" t="s">
        <v>50</v>
      </c>
      <c r="BR1" s="4" t="s">
        <v>51</v>
      </c>
      <c r="BS1" s="4" t="s">
        <v>40</v>
      </c>
      <c r="BT1" s="4" t="s">
        <v>52</v>
      </c>
      <c r="BU1" s="1" t="s">
        <v>41</v>
      </c>
      <c r="BV1" s="1" t="s">
        <v>42</v>
      </c>
      <c r="BW1" s="1" t="s">
        <v>43</v>
      </c>
      <c r="BX1" s="1" t="s">
        <v>44</v>
      </c>
      <c r="BY1" s="1" t="s">
        <v>45</v>
      </c>
      <c r="BZ1" s="39" t="s">
        <v>141</v>
      </c>
      <c r="CA1" s="40" t="s">
        <v>142</v>
      </c>
      <c r="CB1" s="39" t="s">
        <v>143</v>
      </c>
      <c r="CC1" s="40" t="s">
        <v>144</v>
      </c>
      <c r="CD1" s="40" t="s">
        <v>145</v>
      </c>
      <c r="CE1" s="40" t="s">
        <v>146</v>
      </c>
      <c r="CF1" s="39" t="s">
        <v>147</v>
      </c>
      <c r="CG1" s="40" t="s">
        <v>148</v>
      </c>
      <c r="CH1" s="40" t="s">
        <v>149</v>
      </c>
      <c r="CI1" s="39" t="s">
        <v>150</v>
      </c>
      <c r="CJ1" s="40" t="s">
        <v>151</v>
      </c>
      <c r="CK1" s="39" t="s">
        <v>152</v>
      </c>
      <c r="CL1" s="40" t="s">
        <v>153</v>
      </c>
      <c r="CM1" s="40" t="s">
        <v>154</v>
      </c>
      <c r="CN1" s="40" t="s">
        <v>155</v>
      </c>
      <c r="CO1" s="39" t="s">
        <v>156</v>
      </c>
      <c r="CP1" s="40" t="s">
        <v>157</v>
      </c>
      <c r="CQ1" s="39" t="s">
        <v>158</v>
      </c>
      <c r="CR1" s="40" t="s">
        <v>159</v>
      </c>
      <c r="CS1" s="39" t="s">
        <v>160</v>
      </c>
      <c r="CT1" s="39" t="s">
        <v>161</v>
      </c>
      <c r="CU1" s="39" t="s">
        <v>162</v>
      </c>
      <c r="CV1" s="39" t="s">
        <v>163</v>
      </c>
      <c r="CW1" s="39" t="s">
        <v>164</v>
      </c>
      <c r="CX1" s="39" t="s">
        <v>165</v>
      </c>
      <c r="CY1" s="39" t="s">
        <v>166</v>
      </c>
      <c r="CZ1" s="39" t="s">
        <v>167</v>
      </c>
      <c r="DA1" s="40" t="s">
        <v>168</v>
      </c>
      <c r="DB1" s="40" t="s">
        <v>169</v>
      </c>
      <c r="DC1" s="39" t="s">
        <v>170</v>
      </c>
      <c r="DD1" s="39" t="s">
        <v>171</v>
      </c>
      <c r="DE1" s="39" t="s">
        <v>172</v>
      </c>
      <c r="DG1" s="39" t="s">
        <v>301</v>
      </c>
    </row>
    <row r="2" spans="1:111" s="5" customFormat="1">
      <c r="A2" s="5" t="s">
        <v>54</v>
      </c>
      <c r="BG2" s="6">
        <v>0.23699999999999999</v>
      </c>
      <c r="BH2" s="6">
        <v>0.61199999999999999</v>
      </c>
      <c r="BI2" s="6">
        <v>9.5000000000000001E-2</v>
      </c>
      <c r="BJ2" s="6">
        <v>0.46700000000000003</v>
      </c>
      <c r="BK2" s="6">
        <v>0.153</v>
      </c>
      <c r="BL2" s="6">
        <v>5.8000000000000003E-2</v>
      </c>
      <c r="BM2" s="6">
        <v>0.20549999999999999</v>
      </c>
      <c r="BN2" s="6">
        <v>3.7400000000000003E-2</v>
      </c>
      <c r="BO2" s="6">
        <v>0.254</v>
      </c>
      <c r="BP2" s="6">
        <v>5.6599999999999998E-2</v>
      </c>
      <c r="BQ2" s="6">
        <v>0.16550000000000001</v>
      </c>
      <c r="BR2" s="6">
        <v>2.5499999999999998E-2</v>
      </c>
      <c r="BS2" s="6">
        <v>0.17</v>
      </c>
      <c r="BT2" s="6">
        <v>2.5399999999999999E-2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X2" s="5">
        <v>0</v>
      </c>
      <c r="DC2" s="24">
        <f>CI2+CJ2</f>
        <v>0</v>
      </c>
      <c r="DD2" s="24">
        <f>CF2+CG2</f>
        <v>0</v>
      </c>
      <c r="DE2" s="24">
        <f>CK2+CM2+CN2</f>
        <v>0</v>
      </c>
      <c r="DG2" s="5" t="e">
        <f>AG2/AV2</f>
        <v>#DIV/0!</v>
      </c>
    </row>
    <row r="3" spans="1:111">
      <c r="A3" t="s">
        <v>174</v>
      </c>
      <c r="B3" t="s">
        <v>56</v>
      </c>
      <c r="C3" t="s">
        <v>394</v>
      </c>
      <c r="D3" t="s">
        <v>62</v>
      </c>
      <c r="G3">
        <v>32.299999999999997</v>
      </c>
      <c r="H3">
        <v>7.6</v>
      </c>
      <c r="I3">
        <v>2.6</v>
      </c>
      <c r="J3">
        <v>21.2</v>
      </c>
      <c r="K3">
        <v>1.7</v>
      </c>
      <c r="M3">
        <v>0.6</v>
      </c>
      <c r="N3">
        <v>0.3</v>
      </c>
      <c r="O3">
        <v>32.799999999999997</v>
      </c>
      <c r="Q3">
        <v>0.1</v>
      </c>
      <c r="X3">
        <v>0.2</v>
      </c>
      <c r="AD3">
        <f>SUM(G3:X3)</f>
        <v>99.399999999999991</v>
      </c>
      <c r="BZ3" t="s">
        <v>173</v>
      </c>
      <c r="CA3" t="s">
        <v>173</v>
      </c>
      <c r="CB3" t="s">
        <v>173</v>
      </c>
      <c r="CC3" t="s">
        <v>173</v>
      </c>
      <c r="CD3" t="s">
        <v>173</v>
      </c>
      <c r="CE3" t="s">
        <v>173</v>
      </c>
      <c r="CF3">
        <v>4.1000000000000003E-3</v>
      </c>
      <c r="CG3" s="31">
        <v>0</v>
      </c>
      <c r="CH3" t="s">
        <v>173</v>
      </c>
      <c r="CI3">
        <v>1.1599999999999999E-2</v>
      </c>
      <c r="CJ3">
        <v>0.1249</v>
      </c>
      <c r="CK3">
        <v>0.1197</v>
      </c>
      <c r="CL3">
        <v>8.2000000000000007E-3</v>
      </c>
      <c r="CM3">
        <v>7.1199999999999999E-2</v>
      </c>
      <c r="CN3">
        <v>0</v>
      </c>
      <c r="CO3" t="s">
        <v>173</v>
      </c>
      <c r="CP3" t="s">
        <v>173</v>
      </c>
      <c r="CQ3" t="s">
        <v>173</v>
      </c>
      <c r="CR3" t="s">
        <v>173</v>
      </c>
      <c r="CS3" t="s">
        <v>173</v>
      </c>
      <c r="CT3" t="s">
        <v>173</v>
      </c>
      <c r="CU3" t="s">
        <v>173</v>
      </c>
      <c r="CV3" t="s">
        <v>173</v>
      </c>
      <c r="CW3" t="s">
        <v>173</v>
      </c>
      <c r="CX3" s="5">
        <v>0</v>
      </c>
      <c r="CY3">
        <v>0.65190000000000003</v>
      </c>
      <c r="CZ3">
        <v>7.1000000000000004E-3</v>
      </c>
      <c r="DA3" t="s">
        <v>173</v>
      </c>
      <c r="DB3">
        <v>8.0000000000000004E-4</v>
      </c>
      <c r="DC3" s="24">
        <f t="shared" ref="DC3:DC66" si="0">CI3+CJ3</f>
        <v>0.13650000000000001</v>
      </c>
      <c r="DD3" s="24">
        <f t="shared" ref="DD3:DD66" si="1">CF3+CG3</f>
        <v>4.1000000000000003E-3</v>
      </c>
      <c r="DE3" s="24">
        <f>CK3+CM3+CN3</f>
        <v>0.19090000000000001</v>
      </c>
      <c r="DG3" s="5" t="e">
        <f t="shared" ref="DG3:DG66" si="2">AG3/AV3</f>
        <v>#DIV/0!</v>
      </c>
    </row>
    <row r="4" spans="1:111">
      <c r="C4" t="s">
        <v>396</v>
      </c>
      <c r="CJ4">
        <v>0</v>
      </c>
      <c r="CK4">
        <v>0</v>
      </c>
      <c r="CL4">
        <v>0</v>
      </c>
      <c r="CM4">
        <v>0</v>
      </c>
      <c r="CN4">
        <v>0</v>
      </c>
      <c r="CX4" s="5">
        <v>0</v>
      </c>
      <c r="DC4" s="24">
        <f t="shared" si="0"/>
        <v>0</v>
      </c>
      <c r="DD4" s="24">
        <f t="shared" si="1"/>
        <v>0</v>
      </c>
      <c r="DE4" s="24">
        <f t="shared" ref="DE4:DE67" si="3">CK4+CM4+CN4</f>
        <v>0</v>
      </c>
      <c r="DG4" s="5" t="e">
        <f t="shared" si="2"/>
        <v>#DIV/0!</v>
      </c>
    </row>
    <row r="5" spans="1:111">
      <c r="B5" t="s">
        <v>57</v>
      </c>
      <c r="D5" t="s">
        <v>63</v>
      </c>
      <c r="G5">
        <v>29.5</v>
      </c>
      <c r="H5">
        <v>11.5</v>
      </c>
      <c r="I5">
        <v>1.8</v>
      </c>
      <c r="J5">
        <v>20.399999999999999</v>
      </c>
      <c r="K5">
        <v>2.2000000000000002</v>
      </c>
      <c r="M5">
        <v>0.7</v>
      </c>
      <c r="N5">
        <v>0.5</v>
      </c>
      <c r="O5">
        <v>32</v>
      </c>
      <c r="Q5">
        <v>0.4</v>
      </c>
      <c r="X5">
        <v>0.2</v>
      </c>
      <c r="AD5">
        <f>SUM(G5:X5)</f>
        <v>99.2</v>
      </c>
      <c r="BZ5" t="s">
        <v>173</v>
      </c>
      <c r="CA5" t="s">
        <v>173</v>
      </c>
      <c r="CB5" t="s">
        <v>173</v>
      </c>
      <c r="CC5" t="s">
        <v>173</v>
      </c>
      <c r="CD5" t="s">
        <v>173</v>
      </c>
      <c r="CE5" t="s">
        <v>173</v>
      </c>
      <c r="CF5">
        <v>4.1000000000000003E-3</v>
      </c>
      <c r="CG5" s="31">
        <v>0</v>
      </c>
      <c r="CH5" t="s">
        <v>173</v>
      </c>
      <c r="CI5">
        <v>0.15570000000000001</v>
      </c>
      <c r="CJ5">
        <v>8.5999999999999993E-2</v>
      </c>
      <c r="CK5">
        <v>0.15640000000000001</v>
      </c>
      <c r="CL5">
        <v>3.3000000000000002E-2</v>
      </c>
      <c r="CM5">
        <v>2.9700000000000001E-2</v>
      </c>
      <c r="CN5">
        <v>0</v>
      </c>
      <c r="CO5" t="s">
        <v>173</v>
      </c>
      <c r="CP5" t="s">
        <v>173</v>
      </c>
      <c r="CQ5" t="s">
        <v>173</v>
      </c>
      <c r="CR5" t="s">
        <v>173</v>
      </c>
      <c r="CS5" t="s">
        <v>173</v>
      </c>
      <c r="CT5" t="s">
        <v>173</v>
      </c>
      <c r="CU5" t="s">
        <v>173</v>
      </c>
      <c r="CV5" t="s">
        <v>173</v>
      </c>
      <c r="CW5" t="s">
        <v>173</v>
      </c>
      <c r="CX5" s="5">
        <v>0</v>
      </c>
      <c r="CY5">
        <v>0.49690000000000001</v>
      </c>
      <c r="CZ5" t="s">
        <v>173</v>
      </c>
      <c r="DA5" t="s">
        <v>173</v>
      </c>
      <c r="DB5" t="s">
        <v>173</v>
      </c>
      <c r="DC5" s="24">
        <f t="shared" si="0"/>
        <v>0.2417</v>
      </c>
      <c r="DD5" s="24">
        <f t="shared" si="1"/>
        <v>4.1000000000000003E-3</v>
      </c>
      <c r="DE5" s="24">
        <f t="shared" si="3"/>
        <v>0.18610000000000002</v>
      </c>
      <c r="DG5" s="5" t="e">
        <f t="shared" si="2"/>
        <v>#DIV/0!</v>
      </c>
    </row>
    <row r="6" spans="1:111">
      <c r="CJ6">
        <v>0</v>
      </c>
      <c r="CK6">
        <v>0</v>
      </c>
      <c r="CL6">
        <v>0</v>
      </c>
      <c r="CM6">
        <v>0</v>
      </c>
      <c r="CN6">
        <v>0</v>
      </c>
      <c r="CX6" s="5">
        <v>0</v>
      </c>
      <c r="DC6" s="24">
        <f t="shared" si="0"/>
        <v>0</v>
      </c>
      <c r="DD6" s="24">
        <f t="shared" si="1"/>
        <v>0</v>
      </c>
      <c r="DE6" s="24">
        <f t="shared" si="3"/>
        <v>0</v>
      </c>
      <c r="DG6" s="5" t="e">
        <f t="shared" si="2"/>
        <v>#DIV/0!</v>
      </c>
    </row>
    <row r="7" spans="1:111">
      <c r="B7" t="s">
        <v>59</v>
      </c>
      <c r="D7" t="s">
        <v>64</v>
      </c>
      <c r="G7">
        <v>32.5</v>
      </c>
      <c r="H7">
        <v>6.1</v>
      </c>
      <c r="I7">
        <v>2.2999999999999998</v>
      </c>
      <c r="J7">
        <v>23.2</v>
      </c>
      <c r="K7">
        <v>1.6</v>
      </c>
      <c r="M7">
        <v>0.4</v>
      </c>
      <c r="N7">
        <v>0.7</v>
      </c>
      <c r="O7">
        <v>32.1</v>
      </c>
      <c r="Q7">
        <v>0.1</v>
      </c>
      <c r="X7">
        <v>0.6</v>
      </c>
      <c r="AD7">
        <f>SUM(G7:X7)</f>
        <v>99.6</v>
      </c>
      <c r="BZ7" t="s">
        <v>173</v>
      </c>
      <c r="CA7" t="s">
        <v>173</v>
      </c>
      <c r="CB7" t="s">
        <v>173</v>
      </c>
      <c r="CC7" t="s">
        <v>173</v>
      </c>
      <c r="CD7" t="s">
        <v>173</v>
      </c>
      <c r="CE7" t="s">
        <v>173</v>
      </c>
      <c r="CF7">
        <v>1.24E-2</v>
      </c>
      <c r="CG7" s="31">
        <v>0</v>
      </c>
      <c r="CH7" t="s">
        <v>173</v>
      </c>
      <c r="CI7">
        <v>1.2200000000000001E-2</v>
      </c>
      <c r="CJ7">
        <v>0.1022</v>
      </c>
      <c r="CK7">
        <v>0.11310000000000001</v>
      </c>
      <c r="CL7">
        <v>8.2000000000000007E-3</v>
      </c>
      <c r="CM7">
        <v>2.3400000000000001E-2</v>
      </c>
      <c r="CN7">
        <v>0</v>
      </c>
      <c r="CO7" t="s">
        <v>173</v>
      </c>
      <c r="CP7" t="s">
        <v>173</v>
      </c>
      <c r="CQ7" t="s">
        <v>173</v>
      </c>
      <c r="CR7" t="s">
        <v>173</v>
      </c>
      <c r="CS7" t="s">
        <v>173</v>
      </c>
      <c r="CT7" t="s">
        <v>173</v>
      </c>
      <c r="CU7" t="s">
        <v>173</v>
      </c>
      <c r="CV7" t="s">
        <v>173</v>
      </c>
      <c r="CW7" t="s">
        <v>173</v>
      </c>
      <c r="CX7" s="5">
        <v>0</v>
      </c>
      <c r="CY7">
        <v>0.70289999999999997</v>
      </c>
      <c r="CZ7">
        <v>1.67E-2</v>
      </c>
      <c r="DA7" t="s">
        <v>173</v>
      </c>
      <c r="DB7">
        <v>5.8999999999999999E-3</v>
      </c>
      <c r="DC7" s="24">
        <f t="shared" si="0"/>
        <v>0.1144</v>
      </c>
      <c r="DD7" s="24">
        <f t="shared" si="1"/>
        <v>1.24E-2</v>
      </c>
      <c r="DE7" s="24">
        <f t="shared" si="3"/>
        <v>0.13650000000000001</v>
      </c>
      <c r="DG7" s="5" t="e">
        <f t="shared" si="2"/>
        <v>#DIV/0!</v>
      </c>
    </row>
    <row r="8" spans="1:111">
      <c r="CJ8">
        <v>0</v>
      </c>
      <c r="CK8">
        <v>0</v>
      </c>
      <c r="CL8">
        <v>0</v>
      </c>
      <c r="CM8">
        <v>0</v>
      </c>
      <c r="CN8">
        <v>0</v>
      </c>
      <c r="CX8" s="5">
        <v>0</v>
      </c>
      <c r="DC8" s="24">
        <f t="shared" si="0"/>
        <v>0</v>
      </c>
      <c r="DD8" s="24">
        <f t="shared" si="1"/>
        <v>0</v>
      </c>
      <c r="DE8" s="24">
        <f t="shared" si="3"/>
        <v>0</v>
      </c>
      <c r="DG8" s="5" t="e">
        <f t="shared" si="2"/>
        <v>#DIV/0!</v>
      </c>
    </row>
    <row r="9" spans="1:111">
      <c r="B9" t="s">
        <v>60</v>
      </c>
      <c r="D9" t="s">
        <v>65</v>
      </c>
      <c r="G9">
        <v>31.8</v>
      </c>
      <c r="H9">
        <v>7.6</v>
      </c>
      <c r="I9">
        <v>2.2000000000000002</v>
      </c>
      <c r="J9">
        <v>22.1</v>
      </c>
      <c r="K9">
        <v>2.1</v>
      </c>
      <c r="M9">
        <v>0.5</v>
      </c>
      <c r="N9">
        <v>0.7</v>
      </c>
      <c r="O9">
        <v>31.8</v>
      </c>
      <c r="Q9">
        <v>0.1</v>
      </c>
      <c r="X9">
        <v>0.7</v>
      </c>
      <c r="AD9">
        <f>SUM(G9:X9)</f>
        <v>99.6</v>
      </c>
      <c r="BZ9" t="s">
        <v>173</v>
      </c>
      <c r="CA9" t="s">
        <v>173</v>
      </c>
      <c r="CB9" t="s">
        <v>173</v>
      </c>
      <c r="CC9" t="s">
        <v>173</v>
      </c>
      <c r="CD9" t="s">
        <v>173</v>
      </c>
      <c r="CE9" t="s">
        <v>173</v>
      </c>
      <c r="CF9">
        <v>1.4500000000000001E-2</v>
      </c>
      <c r="CG9" s="31">
        <v>0</v>
      </c>
      <c r="CH9" t="s">
        <v>173</v>
      </c>
      <c r="CI9">
        <v>4.3299999999999998E-2</v>
      </c>
      <c r="CJ9">
        <v>9.5399999999999999E-2</v>
      </c>
      <c r="CK9">
        <v>0.14879999999999999</v>
      </c>
      <c r="CL9">
        <v>8.2000000000000007E-3</v>
      </c>
      <c r="CM9">
        <v>1.5900000000000001E-2</v>
      </c>
      <c r="CN9">
        <v>0</v>
      </c>
      <c r="CO9" t="s">
        <v>173</v>
      </c>
      <c r="CP9" t="s">
        <v>173</v>
      </c>
      <c r="CQ9" t="s">
        <v>173</v>
      </c>
      <c r="CR9" t="s">
        <v>173</v>
      </c>
      <c r="CS9" t="s">
        <v>173</v>
      </c>
      <c r="CT9" t="s">
        <v>173</v>
      </c>
      <c r="CU9" t="s">
        <v>173</v>
      </c>
      <c r="CV9" t="s">
        <v>173</v>
      </c>
      <c r="CW9" t="s">
        <v>173</v>
      </c>
      <c r="CX9" s="5">
        <v>0</v>
      </c>
      <c r="CY9">
        <v>0.64139999999999997</v>
      </c>
      <c r="CZ9">
        <v>1.67E-2</v>
      </c>
      <c r="DA9" t="s">
        <v>173</v>
      </c>
      <c r="DB9">
        <v>2.8E-3</v>
      </c>
      <c r="DC9" s="24">
        <f t="shared" si="0"/>
        <v>0.13869999999999999</v>
      </c>
      <c r="DD9" s="24">
        <f t="shared" si="1"/>
        <v>1.4500000000000001E-2</v>
      </c>
      <c r="DE9" s="24">
        <f t="shared" si="3"/>
        <v>0.16469999999999999</v>
      </c>
      <c r="DG9" s="5" t="e">
        <f t="shared" si="2"/>
        <v>#DIV/0!</v>
      </c>
    </row>
    <row r="10" spans="1:111">
      <c r="CJ10">
        <v>0</v>
      </c>
      <c r="CK10">
        <v>0</v>
      </c>
      <c r="CL10">
        <v>0</v>
      </c>
      <c r="CM10">
        <v>0</v>
      </c>
      <c r="CN10">
        <v>0</v>
      </c>
      <c r="CX10" s="5">
        <v>0</v>
      </c>
      <c r="DC10" s="24">
        <f t="shared" si="0"/>
        <v>0</v>
      </c>
      <c r="DD10" s="24">
        <f t="shared" si="1"/>
        <v>0</v>
      </c>
      <c r="DE10" s="24">
        <f t="shared" si="3"/>
        <v>0</v>
      </c>
      <c r="DG10" s="5" t="e">
        <f t="shared" si="2"/>
        <v>#DIV/0!</v>
      </c>
    </row>
    <row r="11" spans="1:111">
      <c r="B11" t="s">
        <v>61</v>
      </c>
      <c r="D11" t="s">
        <v>66</v>
      </c>
      <c r="G11">
        <v>33.5</v>
      </c>
      <c r="H11">
        <v>5.2</v>
      </c>
      <c r="I11">
        <v>1.3</v>
      </c>
      <c r="J11">
        <v>24</v>
      </c>
      <c r="K11">
        <v>2.1</v>
      </c>
      <c r="M11">
        <v>0.2</v>
      </c>
      <c r="N11">
        <v>0.9</v>
      </c>
      <c r="O11">
        <v>31.9</v>
      </c>
      <c r="Q11">
        <v>0.3</v>
      </c>
      <c r="X11">
        <v>0.3</v>
      </c>
      <c r="AD11">
        <f>SUM(G11:X11)</f>
        <v>99.699999999999989</v>
      </c>
      <c r="BZ11" t="s">
        <v>173</v>
      </c>
      <c r="CA11" t="s">
        <v>173</v>
      </c>
      <c r="CB11" t="s">
        <v>173</v>
      </c>
      <c r="CC11" t="s">
        <v>173</v>
      </c>
      <c r="CD11" t="s">
        <v>173</v>
      </c>
      <c r="CE11" t="s">
        <v>173</v>
      </c>
      <c r="CF11">
        <v>6.1999999999999998E-3</v>
      </c>
      <c r="CG11" s="31">
        <v>0</v>
      </c>
      <c r="CH11" t="s">
        <v>173</v>
      </c>
      <c r="CI11">
        <v>2.07E-2</v>
      </c>
      <c r="CJ11">
        <v>5.8500000000000003E-2</v>
      </c>
      <c r="CK11">
        <v>0.14829999999999999</v>
      </c>
      <c r="CL11">
        <v>1.18E-2</v>
      </c>
      <c r="CM11">
        <v>0</v>
      </c>
      <c r="CN11">
        <v>0</v>
      </c>
      <c r="CO11" t="s">
        <v>173</v>
      </c>
      <c r="CP11" t="s">
        <v>173</v>
      </c>
      <c r="CQ11" t="s">
        <v>173</v>
      </c>
      <c r="CR11" t="s">
        <v>173</v>
      </c>
      <c r="CS11" t="s">
        <v>173</v>
      </c>
      <c r="CT11" t="s">
        <v>173</v>
      </c>
      <c r="CU11" t="s">
        <v>173</v>
      </c>
      <c r="CV11" t="s">
        <v>173</v>
      </c>
      <c r="CW11" t="s">
        <v>173</v>
      </c>
      <c r="CX11" s="5">
        <v>0</v>
      </c>
      <c r="CY11">
        <v>0.72450000000000003</v>
      </c>
      <c r="CZ11">
        <v>1.7399999999999999E-2</v>
      </c>
      <c r="DA11" t="s">
        <v>173</v>
      </c>
      <c r="DB11" t="s">
        <v>173</v>
      </c>
      <c r="DC11" s="24">
        <f t="shared" si="0"/>
        <v>7.9200000000000007E-2</v>
      </c>
      <c r="DD11" s="24">
        <f t="shared" si="1"/>
        <v>6.1999999999999998E-3</v>
      </c>
      <c r="DE11" s="24">
        <f t="shared" si="3"/>
        <v>0.14829999999999999</v>
      </c>
      <c r="DG11" s="5" t="e">
        <f t="shared" si="2"/>
        <v>#DIV/0!</v>
      </c>
    </row>
    <row r="12" spans="1:111" ht="15" thickBot="1">
      <c r="D12" t="s">
        <v>395</v>
      </c>
      <c r="CJ12">
        <v>0</v>
      </c>
      <c r="CK12">
        <v>0</v>
      </c>
      <c r="CL12">
        <v>0</v>
      </c>
      <c r="CM12">
        <v>0</v>
      </c>
      <c r="CN12">
        <v>0</v>
      </c>
      <c r="CX12">
        <v>0</v>
      </c>
      <c r="DC12" s="24">
        <f t="shared" si="0"/>
        <v>0</v>
      </c>
      <c r="DD12" s="24">
        <f t="shared" si="1"/>
        <v>0</v>
      </c>
      <c r="DE12" s="24">
        <f t="shared" si="3"/>
        <v>0</v>
      </c>
      <c r="DG12" s="5" t="e">
        <f t="shared" si="2"/>
        <v>#DIV/0!</v>
      </c>
    </row>
    <row r="13" spans="1:111" ht="15" thickBot="1">
      <c r="A13" s="10" t="s">
        <v>58</v>
      </c>
      <c r="B13" s="7" t="s">
        <v>59</v>
      </c>
      <c r="C13" s="8" t="s">
        <v>70</v>
      </c>
      <c r="D13" t="s">
        <v>71</v>
      </c>
      <c r="AH13" s="9">
        <v>95</v>
      </c>
      <c r="AI13" s="9">
        <v>632</v>
      </c>
      <c r="AJ13" s="9">
        <v>158</v>
      </c>
      <c r="AK13" s="9">
        <v>906</v>
      </c>
      <c r="AL13" s="9">
        <v>281</v>
      </c>
      <c r="AM13" s="9">
        <v>89</v>
      </c>
      <c r="AN13" s="9">
        <v>189</v>
      </c>
      <c r="AO13" s="9">
        <v>35</v>
      </c>
      <c r="AP13" s="9">
        <v>140</v>
      </c>
      <c r="AQ13" s="9">
        <v>22</v>
      </c>
      <c r="AR13" s="9">
        <v>57</v>
      </c>
      <c r="AS13" s="9">
        <v>7.4</v>
      </c>
      <c r="AT13" s="9">
        <v>47</v>
      </c>
      <c r="AU13" s="9">
        <v>6.3</v>
      </c>
      <c r="AV13" s="12"/>
      <c r="BG13">
        <f>AH13/BG$2</f>
        <v>400.84388185654012</v>
      </c>
      <c r="BH13">
        <f t="shared" ref="BH13:BT13" si="4">AI13/BH$2</f>
        <v>1032.6797385620914</v>
      </c>
      <c r="BI13">
        <f t="shared" si="4"/>
        <v>1663.1578947368421</v>
      </c>
      <c r="BJ13">
        <f t="shared" si="4"/>
        <v>1940.0428265524624</v>
      </c>
      <c r="BK13">
        <f t="shared" si="4"/>
        <v>1836.6013071895425</v>
      </c>
      <c r="BL13">
        <f t="shared" si="4"/>
        <v>1534.4827586206895</v>
      </c>
      <c r="BM13">
        <f>AN13/BM$2</f>
        <v>919.70802919708035</v>
      </c>
      <c r="BN13">
        <f>AO13/BN$2</f>
        <v>935.82887700534752</v>
      </c>
      <c r="BO13">
        <f t="shared" si="4"/>
        <v>551.18110236220468</v>
      </c>
      <c r="BP13">
        <f t="shared" si="4"/>
        <v>388.69257950530039</v>
      </c>
      <c r="BQ13">
        <f t="shared" si="4"/>
        <v>344.41087613293047</v>
      </c>
      <c r="BR13">
        <f t="shared" si="4"/>
        <v>290.1960784313726</v>
      </c>
      <c r="BS13">
        <f t="shared" si="4"/>
        <v>276.47058823529409</v>
      </c>
      <c r="BT13">
        <f t="shared" si="4"/>
        <v>248.03149606299212</v>
      </c>
      <c r="BU13">
        <f>BK13/BS13</f>
        <v>6.6430260047281333</v>
      </c>
      <c r="BV13">
        <f>BK13/BG13</f>
        <v>4.5818369453044374</v>
      </c>
      <c r="BX13">
        <f>BG13/BS13</f>
        <v>1.4498608492683367</v>
      </c>
      <c r="CJ13">
        <v>0</v>
      </c>
      <c r="CK13">
        <v>0</v>
      </c>
      <c r="CL13">
        <v>0</v>
      </c>
      <c r="CM13">
        <v>0</v>
      </c>
      <c r="CN13">
        <v>0</v>
      </c>
      <c r="CX13">
        <v>0</v>
      </c>
      <c r="DC13" s="24">
        <f t="shared" si="0"/>
        <v>0</v>
      </c>
      <c r="DD13" s="24">
        <f t="shared" si="1"/>
        <v>0</v>
      </c>
      <c r="DE13" s="24">
        <f t="shared" si="3"/>
        <v>0</v>
      </c>
      <c r="DG13" s="5" t="e">
        <f t="shared" si="2"/>
        <v>#DIV/0!</v>
      </c>
    </row>
    <row r="14" spans="1:111" ht="15" thickBot="1">
      <c r="A14" s="10" t="s">
        <v>58</v>
      </c>
      <c r="B14" s="7" t="s">
        <v>59</v>
      </c>
      <c r="C14" s="8" t="s">
        <v>70</v>
      </c>
      <c r="D14" t="s">
        <v>72</v>
      </c>
      <c r="G14" s="10"/>
      <c r="H14" s="11"/>
      <c r="I14" s="11"/>
      <c r="J14" s="11"/>
      <c r="K14" s="11"/>
      <c r="L14" s="11"/>
      <c r="M14" s="10"/>
      <c r="N14" s="10"/>
      <c r="O14" s="10"/>
      <c r="P14" s="7"/>
      <c r="Q14" s="8"/>
      <c r="AH14" s="9">
        <v>95</v>
      </c>
      <c r="AI14" s="9">
        <v>653</v>
      </c>
      <c r="AJ14" s="9">
        <v>172</v>
      </c>
      <c r="AK14" s="9">
        <v>971</v>
      </c>
      <c r="AL14" s="9">
        <v>304</v>
      </c>
      <c r="AM14" s="9">
        <v>99</v>
      </c>
      <c r="AN14" s="9">
        <v>169</v>
      </c>
      <c r="AO14" s="9">
        <v>31</v>
      </c>
      <c r="AP14" s="9">
        <v>116</v>
      </c>
      <c r="AQ14" s="9">
        <v>22</v>
      </c>
      <c r="AR14" s="9">
        <v>56</v>
      </c>
      <c r="AS14" s="9">
        <v>6.4</v>
      </c>
      <c r="AT14" s="9">
        <v>48</v>
      </c>
      <c r="AU14" s="9">
        <v>5.3</v>
      </c>
      <c r="AV14" s="12"/>
      <c r="BG14">
        <f t="shared" ref="BG14:BG77" si="5">AH14/BG$2</f>
        <v>400.84388185654012</v>
      </c>
      <c r="BH14">
        <f t="shared" ref="BH14:BH77" si="6">AI14/BH$2</f>
        <v>1066.9934640522877</v>
      </c>
      <c r="BI14">
        <f t="shared" ref="BI14:BI77" si="7">AJ14/BI$2</f>
        <v>1810.5263157894738</v>
      </c>
      <c r="BJ14">
        <f t="shared" ref="BJ14:BJ77" si="8">AK14/BJ$2</f>
        <v>2079.2291220556745</v>
      </c>
      <c r="BK14">
        <f t="shared" ref="BK14:BK77" si="9">AL14/BK$2</f>
        <v>1986.9281045751634</v>
      </c>
      <c r="BL14">
        <f t="shared" ref="BL14:BL77" si="10">AM14/BL$2</f>
        <v>1706.8965517241379</v>
      </c>
      <c r="BM14">
        <f t="shared" ref="BM14:BM77" si="11">AN14/BM$2</f>
        <v>822.38442822384434</v>
      </c>
      <c r="BN14">
        <f t="shared" ref="BN14:BN77" si="12">AO14/BN$2</f>
        <v>828.87700534759347</v>
      </c>
      <c r="BO14">
        <f t="shared" ref="BO14:BO77" si="13">AP14/BO$2</f>
        <v>456.69291338582678</v>
      </c>
      <c r="BP14">
        <f t="shared" ref="BP14:BP77" si="14">AQ14/BP$2</f>
        <v>388.69257950530039</v>
      </c>
      <c r="BQ14">
        <f t="shared" ref="BQ14:BQ77" si="15">AR14/BQ$2</f>
        <v>338.36858006042297</v>
      </c>
      <c r="BR14">
        <f t="shared" ref="BR14:BR77" si="16">AS14/BR$2</f>
        <v>250.98039215686276</v>
      </c>
      <c r="BS14">
        <f t="shared" ref="BS14:BS77" si="17">AT14/BS$2</f>
        <v>282.35294117647055</v>
      </c>
      <c r="BT14">
        <f t="shared" ref="BT14:BT77" si="18">AU14/BT$2</f>
        <v>208.66141732283464</v>
      </c>
      <c r="BU14">
        <f t="shared" ref="BU14:BU37" si="19">BK14/BS14</f>
        <v>7.0370370370370381</v>
      </c>
      <c r="BV14">
        <f t="shared" ref="BV14:BV23" si="20">BK14/BG14</f>
        <v>4.9568627450980385</v>
      </c>
      <c r="BX14">
        <f t="shared" ref="BX14:BX23" si="21">BG14/BS14</f>
        <v>1.4196554149085798</v>
      </c>
      <c r="CJ14">
        <v>0</v>
      </c>
      <c r="CK14">
        <v>0</v>
      </c>
      <c r="CL14">
        <v>0</v>
      </c>
      <c r="CM14">
        <v>0</v>
      </c>
      <c r="CN14">
        <v>0</v>
      </c>
      <c r="CX14">
        <v>0</v>
      </c>
      <c r="DC14" s="24">
        <f t="shared" si="0"/>
        <v>0</v>
      </c>
      <c r="DD14" s="24">
        <f t="shared" si="1"/>
        <v>0</v>
      </c>
      <c r="DE14" s="24">
        <f t="shared" si="3"/>
        <v>0</v>
      </c>
      <c r="DG14" s="5" t="e">
        <f t="shared" si="2"/>
        <v>#DIV/0!</v>
      </c>
    </row>
    <row r="15" spans="1:111" ht="15" thickBot="1">
      <c r="A15" s="10" t="s">
        <v>58</v>
      </c>
      <c r="B15" s="7" t="s">
        <v>59</v>
      </c>
      <c r="C15" s="8" t="s">
        <v>70</v>
      </c>
      <c r="D15" t="s">
        <v>73</v>
      </c>
      <c r="E15" s="10"/>
      <c r="F15" s="10"/>
      <c r="G15" s="7"/>
      <c r="H15" s="7"/>
      <c r="I15" s="7"/>
      <c r="J15" s="7"/>
      <c r="K15" s="7"/>
      <c r="L15" s="7"/>
      <c r="M15" s="7"/>
      <c r="N15" s="7"/>
      <c r="O15" s="10"/>
      <c r="P15" s="7"/>
      <c r="Q15" s="8"/>
      <c r="AH15" s="9">
        <v>93</v>
      </c>
      <c r="AI15" s="9">
        <v>621</v>
      </c>
      <c r="AJ15" s="9">
        <v>155</v>
      </c>
      <c r="AK15" s="9">
        <v>938</v>
      </c>
      <c r="AL15" s="9">
        <v>296</v>
      </c>
      <c r="AM15" s="9">
        <v>96</v>
      </c>
      <c r="AN15" s="9">
        <v>160</v>
      </c>
      <c r="AO15" s="9">
        <v>32</v>
      </c>
      <c r="AP15" s="9">
        <v>108</v>
      </c>
      <c r="AQ15" s="9">
        <v>17</v>
      </c>
      <c r="AR15" s="9">
        <v>45</v>
      </c>
      <c r="AS15" s="9">
        <v>5.4</v>
      </c>
      <c r="AT15" s="9">
        <v>34</v>
      </c>
      <c r="AU15" s="9">
        <v>4.3</v>
      </c>
      <c r="AV15" s="12"/>
      <c r="BG15">
        <f t="shared" si="5"/>
        <v>392.40506329113924</v>
      </c>
      <c r="BH15">
        <f t="shared" si="6"/>
        <v>1014.7058823529412</v>
      </c>
      <c r="BI15">
        <f t="shared" si="7"/>
        <v>1631.578947368421</v>
      </c>
      <c r="BJ15">
        <f t="shared" si="8"/>
        <v>2008.5653104925052</v>
      </c>
      <c r="BK15">
        <f t="shared" si="9"/>
        <v>1934.6405228758169</v>
      </c>
      <c r="BL15">
        <f t="shared" si="10"/>
        <v>1655.1724137931033</v>
      </c>
      <c r="BM15">
        <f t="shared" si="11"/>
        <v>778.58880778588809</v>
      </c>
      <c r="BN15">
        <f t="shared" si="12"/>
        <v>855.61497326203198</v>
      </c>
      <c r="BO15">
        <f t="shared" si="13"/>
        <v>425.1968503937008</v>
      </c>
      <c r="BP15">
        <f t="shared" si="14"/>
        <v>300.35335689045939</v>
      </c>
      <c r="BQ15">
        <f t="shared" si="15"/>
        <v>271.90332326283988</v>
      </c>
      <c r="BR15">
        <f t="shared" si="16"/>
        <v>211.76470588235296</v>
      </c>
      <c r="BS15">
        <f t="shared" si="17"/>
        <v>199.99999999999997</v>
      </c>
      <c r="BT15">
        <f t="shared" si="18"/>
        <v>169.29133858267716</v>
      </c>
      <c r="BU15">
        <f t="shared" si="19"/>
        <v>9.6732026143790861</v>
      </c>
      <c r="BV15">
        <f t="shared" si="20"/>
        <v>4.9302129453932109</v>
      </c>
      <c r="BX15">
        <f t="shared" si="21"/>
        <v>1.9620253164556964</v>
      </c>
      <c r="CJ15">
        <v>0</v>
      </c>
      <c r="CK15">
        <v>0</v>
      </c>
      <c r="CL15">
        <v>0</v>
      </c>
      <c r="CM15">
        <v>0</v>
      </c>
      <c r="CN15">
        <v>0</v>
      </c>
      <c r="CX15">
        <v>0</v>
      </c>
      <c r="DC15" s="24">
        <f t="shared" si="0"/>
        <v>0</v>
      </c>
      <c r="DD15" s="24">
        <f t="shared" si="1"/>
        <v>0</v>
      </c>
      <c r="DE15" s="24">
        <f t="shared" si="3"/>
        <v>0</v>
      </c>
      <c r="DG15" s="5" t="e">
        <f t="shared" si="2"/>
        <v>#DIV/0!</v>
      </c>
    </row>
    <row r="16" spans="1:111" ht="15" thickBot="1">
      <c r="A16" s="10" t="s">
        <v>67</v>
      </c>
      <c r="B16" s="7" t="s">
        <v>59</v>
      </c>
      <c r="C16" s="8" t="s">
        <v>70</v>
      </c>
      <c r="D16" t="s">
        <v>74</v>
      </c>
      <c r="E16" s="7"/>
      <c r="F16" s="7"/>
      <c r="G16" s="8"/>
      <c r="H16" s="8"/>
      <c r="I16" s="8"/>
      <c r="J16" s="8"/>
      <c r="K16" s="8"/>
      <c r="L16" s="8"/>
      <c r="M16" s="8"/>
      <c r="N16" s="8"/>
      <c r="O16" s="10"/>
      <c r="P16" s="7"/>
      <c r="Q16" s="8"/>
      <c r="AH16" s="9">
        <v>66</v>
      </c>
      <c r="AI16" s="9">
        <v>454</v>
      </c>
      <c r="AJ16" s="9">
        <v>117</v>
      </c>
      <c r="AK16" s="9">
        <v>710</v>
      </c>
      <c r="AL16" s="9">
        <v>227</v>
      </c>
      <c r="AM16" s="9">
        <v>74</v>
      </c>
      <c r="AN16" s="9">
        <v>186</v>
      </c>
      <c r="AO16" s="9">
        <v>31</v>
      </c>
      <c r="AP16" s="9">
        <v>128</v>
      </c>
      <c r="AQ16" s="9">
        <v>21</v>
      </c>
      <c r="AR16" s="9">
        <v>57</v>
      </c>
      <c r="AS16" s="9">
        <v>7.7</v>
      </c>
      <c r="AT16" s="9">
        <v>54</v>
      </c>
      <c r="AU16" s="9">
        <v>7.3</v>
      </c>
      <c r="AV16" s="12"/>
      <c r="BG16">
        <f t="shared" si="5"/>
        <v>278.48101265822788</v>
      </c>
      <c r="BH16">
        <f t="shared" si="6"/>
        <v>741.83006535947709</v>
      </c>
      <c r="BI16">
        <f t="shared" si="7"/>
        <v>1231.578947368421</v>
      </c>
      <c r="BJ16">
        <f t="shared" si="8"/>
        <v>1520.3426124197001</v>
      </c>
      <c r="BK16">
        <f t="shared" si="9"/>
        <v>1483.6601307189542</v>
      </c>
      <c r="BL16">
        <f t="shared" si="10"/>
        <v>1275.8620689655172</v>
      </c>
      <c r="BM16">
        <f t="shared" si="11"/>
        <v>905.1094890510949</v>
      </c>
      <c r="BN16">
        <f t="shared" si="12"/>
        <v>828.87700534759347</v>
      </c>
      <c r="BO16">
        <f t="shared" si="13"/>
        <v>503.93700787401576</v>
      </c>
      <c r="BP16">
        <f t="shared" si="14"/>
        <v>371.02473498233218</v>
      </c>
      <c r="BQ16">
        <f t="shared" si="15"/>
        <v>344.41087613293047</v>
      </c>
      <c r="BR16">
        <f t="shared" si="16"/>
        <v>301.96078431372553</v>
      </c>
      <c r="BS16">
        <f t="shared" si="17"/>
        <v>317.64705882352939</v>
      </c>
      <c r="BT16">
        <f t="shared" si="18"/>
        <v>287.40157480314963</v>
      </c>
      <c r="BU16">
        <f t="shared" si="19"/>
        <v>4.6707818930041149</v>
      </c>
      <c r="BV16">
        <f t="shared" si="20"/>
        <v>5.3276886512180619</v>
      </c>
      <c r="BX16">
        <f t="shared" si="21"/>
        <v>0.87669948429442113</v>
      </c>
      <c r="CJ16">
        <v>0</v>
      </c>
      <c r="CK16">
        <v>0</v>
      </c>
      <c r="CL16">
        <v>0</v>
      </c>
      <c r="CM16">
        <v>0</v>
      </c>
      <c r="CN16">
        <v>0</v>
      </c>
      <c r="CX16">
        <v>0</v>
      </c>
      <c r="DC16" s="24">
        <f t="shared" si="0"/>
        <v>0</v>
      </c>
      <c r="DD16" s="24">
        <f t="shared" si="1"/>
        <v>0</v>
      </c>
      <c r="DE16" s="24">
        <f t="shared" si="3"/>
        <v>0</v>
      </c>
      <c r="DG16" s="5" t="e">
        <f t="shared" si="2"/>
        <v>#DIV/0!</v>
      </c>
    </row>
    <row r="17" spans="1:111" ht="15" thickBot="1">
      <c r="A17" s="10" t="s">
        <v>67</v>
      </c>
      <c r="B17" s="7" t="s">
        <v>59</v>
      </c>
      <c r="C17" s="8" t="s">
        <v>70</v>
      </c>
      <c r="D17" t="s">
        <v>75</v>
      </c>
      <c r="E17" s="8"/>
      <c r="F17" s="8"/>
      <c r="G17" s="9"/>
      <c r="H17" s="9"/>
      <c r="I17" s="9"/>
      <c r="J17" s="9"/>
      <c r="K17" s="9"/>
      <c r="L17" s="9"/>
      <c r="M17" s="9"/>
      <c r="N17" s="9"/>
      <c r="O17" s="10"/>
      <c r="P17" s="7"/>
      <c r="Q17" s="8"/>
      <c r="AH17" s="9">
        <v>76</v>
      </c>
      <c r="AI17" s="9">
        <v>508</v>
      </c>
      <c r="AJ17" s="9">
        <v>132</v>
      </c>
      <c r="AK17" s="9">
        <v>762</v>
      </c>
      <c r="AL17" s="9">
        <v>239</v>
      </c>
      <c r="AM17" s="9">
        <v>78</v>
      </c>
      <c r="AN17" s="9">
        <v>190</v>
      </c>
      <c r="AO17" s="9">
        <v>33</v>
      </c>
      <c r="AP17" s="9">
        <v>139</v>
      </c>
      <c r="AQ17" s="9">
        <v>21</v>
      </c>
      <c r="AR17" s="9">
        <v>59</v>
      </c>
      <c r="AS17" s="9">
        <v>7.8</v>
      </c>
      <c r="AT17" s="9">
        <v>54</v>
      </c>
      <c r="AU17" s="9">
        <v>7.4</v>
      </c>
      <c r="AV17" s="12"/>
      <c r="BG17">
        <f t="shared" si="5"/>
        <v>320.67510548523211</v>
      </c>
      <c r="BH17">
        <f t="shared" si="6"/>
        <v>830.06535947712416</v>
      </c>
      <c r="BI17">
        <f t="shared" si="7"/>
        <v>1389.4736842105262</v>
      </c>
      <c r="BJ17">
        <f t="shared" si="8"/>
        <v>1631.6916488222698</v>
      </c>
      <c r="BK17">
        <f t="shared" si="9"/>
        <v>1562.0915032679738</v>
      </c>
      <c r="BL17">
        <f t="shared" si="10"/>
        <v>1344.8275862068965</v>
      </c>
      <c r="BM17">
        <f t="shared" si="11"/>
        <v>924.57420924574217</v>
      </c>
      <c r="BN17">
        <f t="shared" si="12"/>
        <v>882.35294117647049</v>
      </c>
      <c r="BO17">
        <f t="shared" si="13"/>
        <v>547.24409448818892</v>
      </c>
      <c r="BP17">
        <f t="shared" si="14"/>
        <v>371.02473498233218</v>
      </c>
      <c r="BQ17">
        <f t="shared" si="15"/>
        <v>356.49546827794558</v>
      </c>
      <c r="BR17">
        <f t="shared" si="16"/>
        <v>305.88235294117646</v>
      </c>
      <c r="BS17">
        <f t="shared" si="17"/>
        <v>317.64705882352939</v>
      </c>
      <c r="BT17">
        <f t="shared" si="18"/>
        <v>291.33858267716539</v>
      </c>
      <c r="BU17">
        <f t="shared" si="19"/>
        <v>4.9176954732510287</v>
      </c>
      <c r="BV17">
        <f t="shared" si="20"/>
        <v>4.8712590299277601</v>
      </c>
      <c r="BX17">
        <f t="shared" si="21"/>
        <v>1.0095327394905456</v>
      </c>
      <c r="CJ17">
        <v>0</v>
      </c>
      <c r="CK17">
        <v>0</v>
      </c>
      <c r="CL17">
        <v>0</v>
      </c>
      <c r="CM17">
        <v>0</v>
      </c>
      <c r="CN17">
        <v>0</v>
      </c>
      <c r="CX17">
        <v>0</v>
      </c>
      <c r="DC17" s="24">
        <f t="shared" si="0"/>
        <v>0</v>
      </c>
      <c r="DD17" s="24">
        <f t="shared" si="1"/>
        <v>0</v>
      </c>
      <c r="DE17" s="24">
        <f t="shared" si="3"/>
        <v>0</v>
      </c>
      <c r="DG17" s="5" t="e">
        <f t="shared" si="2"/>
        <v>#DIV/0!</v>
      </c>
    </row>
    <row r="18" spans="1:111" ht="15" thickBot="1">
      <c r="A18" s="11" t="s">
        <v>68</v>
      </c>
      <c r="B18" s="7" t="s">
        <v>59</v>
      </c>
      <c r="C18" s="8" t="s">
        <v>70</v>
      </c>
      <c r="D18" t="s">
        <v>76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8"/>
      <c r="AH18" s="9">
        <v>46</v>
      </c>
      <c r="AI18" s="9">
        <v>323</v>
      </c>
      <c r="AJ18" s="9">
        <v>72</v>
      </c>
      <c r="AK18" s="9">
        <v>453</v>
      </c>
      <c r="AL18" s="9">
        <v>135</v>
      </c>
      <c r="AM18" s="9">
        <v>43</v>
      </c>
      <c r="AN18" s="9">
        <v>13</v>
      </c>
      <c r="AO18" s="9">
        <v>102</v>
      </c>
      <c r="AP18" s="9">
        <v>65</v>
      </c>
      <c r="AQ18" s="9">
        <v>11</v>
      </c>
      <c r="AR18" s="9">
        <v>27</v>
      </c>
      <c r="AS18" s="9">
        <v>3.8</v>
      </c>
      <c r="AT18" s="9">
        <v>27</v>
      </c>
      <c r="AU18" s="9">
        <v>3.6</v>
      </c>
      <c r="AV18" s="12"/>
      <c r="BG18">
        <f t="shared" si="5"/>
        <v>194.09282700421943</v>
      </c>
      <c r="BH18">
        <f t="shared" si="6"/>
        <v>527.77777777777783</v>
      </c>
      <c r="BI18">
        <f t="shared" si="7"/>
        <v>757.8947368421052</v>
      </c>
      <c r="BJ18">
        <f t="shared" si="8"/>
        <v>970.02141327623121</v>
      </c>
      <c r="BK18">
        <f t="shared" si="9"/>
        <v>882.35294117647061</v>
      </c>
      <c r="BL18">
        <f t="shared" si="10"/>
        <v>741.37931034482756</v>
      </c>
      <c r="BM18">
        <f t="shared" si="11"/>
        <v>63.260340632603409</v>
      </c>
      <c r="BN18">
        <f t="shared" si="12"/>
        <v>2727.272727272727</v>
      </c>
      <c r="BO18">
        <f t="shared" si="13"/>
        <v>255.90551181102362</v>
      </c>
      <c r="BP18">
        <f t="shared" si="14"/>
        <v>194.34628975265019</v>
      </c>
      <c r="BQ18">
        <f t="shared" si="15"/>
        <v>163.14199395770393</v>
      </c>
      <c r="BR18">
        <f t="shared" si="16"/>
        <v>149.01960784313727</v>
      </c>
      <c r="BS18">
        <f t="shared" si="17"/>
        <v>158.8235294117647</v>
      </c>
      <c r="BT18">
        <f t="shared" si="18"/>
        <v>141.73228346456693</v>
      </c>
      <c r="BU18">
        <f t="shared" si="19"/>
        <v>5.5555555555555562</v>
      </c>
      <c r="BV18">
        <f t="shared" si="20"/>
        <v>4.5460358056265981</v>
      </c>
      <c r="BX18">
        <f t="shared" si="21"/>
        <v>1.2220659478043447</v>
      </c>
      <c r="CJ18">
        <v>0</v>
      </c>
      <c r="CK18">
        <v>0</v>
      </c>
      <c r="CL18">
        <v>0</v>
      </c>
      <c r="CM18">
        <v>0</v>
      </c>
      <c r="CN18">
        <v>0</v>
      </c>
      <c r="CX18">
        <v>0</v>
      </c>
      <c r="DC18" s="24">
        <f t="shared" si="0"/>
        <v>0</v>
      </c>
      <c r="DD18" s="24">
        <f t="shared" si="1"/>
        <v>0</v>
      </c>
      <c r="DE18" s="24">
        <f t="shared" si="3"/>
        <v>0</v>
      </c>
      <c r="DG18" s="5" t="e">
        <f t="shared" si="2"/>
        <v>#DIV/0!</v>
      </c>
    </row>
    <row r="19" spans="1:111" ht="15" thickBot="1">
      <c r="A19" s="11" t="s">
        <v>68</v>
      </c>
      <c r="B19" s="7" t="s">
        <v>59</v>
      </c>
      <c r="C19" s="8" t="s">
        <v>70</v>
      </c>
      <c r="D19" t="s">
        <v>77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8"/>
      <c r="AH19" s="9">
        <v>35</v>
      </c>
      <c r="AI19" s="9">
        <v>290</v>
      </c>
      <c r="AJ19" s="9">
        <v>69</v>
      </c>
      <c r="AK19" s="9">
        <v>460</v>
      </c>
      <c r="AL19" s="9">
        <v>141</v>
      </c>
      <c r="AM19" s="9">
        <v>47</v>
      </c>
      <c r="AN19" s="9">
        <v>14</v>
      </c>
      <c r="AO19" s="9">
        <v>111</v>
      </c>
      <c r="AP19" s="9">
        <v>71</v>
      </c>
      <c r="AQ19" s="9">
        <v>12</v>
      </c>
      <c r="AR19" s="9">
        <v>28</v>
      </c>
      <c r="AS19" s="9">
        <v>4</v>
      </c>
      <c r="AT19" s="9">
        <v>28</v>
      </c>
      <c r="AU19" s="9">
        <v>3.9</v>
      </c>
      <c r="AV19" s="12"/>
      <c r="BG19">
        <f t="shared" si="5"/>
        <v>147.67932489451476</v>
      </c>
      <c r="BH19">
        <f t="shared" si="6"/>
        <v>473.85620915032683</v>
      </c>
      <c r="BI19">
        <f t="shared" si="7"/>
        <v>726.31578947368416</v>
      </c>
      <c r="BJ19">
        <f t="shared" si="8"/>
        <v>985.01070663811561</v>
      </c>
      <c r="BK19">
        <f t="shared" si="9"/>
        <v>921.56862745098044</v>
      </c>
      <c r="BL19">
        <f t="shared" si="10"/>
        <v>810.34482758620686</v>
      </c>
      <c r="BM19">
        <f t="shared" si="11"/>
        <v>68.126520681265205</v>
      </c>
      <c r="BN19">
        <f t="shared" si="12"/>
        <v>2967.9144385026734</v>
      </c>
      <c r="BO19">
        <f t="shared" si="13"/>
        <v>279.5275590551181</v>
      </c>
      <c r="BP19">
        <f t="shared" si="14"/>
        <v>212.01413427561837</v>
      </c>
      <c r="BQ19">
        <f t="shared" si="15"/>
        <v>169.18429003021149</v>
      </c>
      <c r="BR19">
        <f t="shared" si="16"/>
        <v>156.86274509803923</v>
      </c>
      <c r="BS19">
        <f t="shared" si="17"/>
        <v>164.70588235294116</v>
      </c>
      <c r="BT19">
        <f t="shared" si="18"/>
        <v>153.54330708661416</v>
      </c>
      <c r="BU19">
        <f t="shared" si="19"/>
        <v>5.5952380952380958</v>
      </c>
      <c r="BV19">
        <f t="shared" si="20"/>
        <v>6.2403361344537824</v>
      </c>
      <c r="BX19">
        <f t="shared" si="21"/>
        <v>0.8966244725738397</v>
      </c>
      <c r="CJ19">
        <v>0</v>
      </c>
      <c r="CK19">
        <v>0</v>
      </c>
      <c r="CL19">
        <v>0</v>
      </c>
      <c r="CM19">
        <v>0</v>
      </c>
      <c r="CN19">
        <v>0</v>
      </c>
      <c r="CX19">
        <v>0</v>
      </c>
      <c r="DC19" s="24">
        <f t="shared" si="0"/>
        <v>0</v>
      </c>
      <c r="DD19" s="24">
        <f t="shared" si="1"/>
        <v>0</v>
      </c>
      <c r="DE19" s="24">
        <f t="shared" si="3"/>
        <v>0</v>
      </c>
      <c r="DG19" s="5" t="e">
        <f t="shared" si="2"/>
        <v>#DIV/0!</v>
      </c>
    </row>
    <row r="20" spans="1:111" ht="15" thickBot="1">
      <c r="A20" s="11" t="s">
        <v>68</v>
      </c>
      <c r="B20" s="7" t="s">
        <v>59</v>
      </c>
      <c r="C20" s="8" t="s">
        <v>70</v>
      </c>
      <c r="D20" t="s">
        <v>78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11"/>
      <c r="P20" s="7"/>
      <c r="Q20" s="8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H20" s="9">
        <v>47</v>
      </c>
      <c r="AI20" s="9">
        <v>366</v>
      </c>
      <c r="AJ20" s="9">
        <v>81</v>
      </c>
      <c r="AK20" s="9">
        <v>524</v>
      </c>
      <c r="AL20" s="9">
        <v>146</v>
      </c>
      <c r="AM20" s="9">
        <v>48</v>
      </c>
      <c r="AN20" s="9">
        <v>14</v>
      </c>
      <c r="AO20" s="9">
        <v>111</v>
      </c>
      <c r="AP20" s="9">
        <v>66</v>
      </c>
      <c r="AQ20" s="9">
        <v>11</v>
      </c>
      <c r="AR20" s="9">
        <v>27</v>
      </c>
      <c r="AS20" s="9">
        <v>3.6</v>
      </c>
      <c r="AT20" s="9">
        <v>26</v>
      </c>
      <c r="AU20" s="9">
        <v>3.5</v>
      </c>
      <c r="AV20" s="12"/>
      <c r="BG20">
        <f t="shared" si="5"/>
        <v>198.31223628691984</v>
      </c>
      <c r="BH20">
        <f t="shared" si="6"/>
        <v>598.03921568627447</v>
      </c>
      <c r="BI20">
        <f t="shared" si="7"/>
        <v>852.63157894736844</v>
      </c>
      <c r="BJ20">
        <f t="shared" si="8"/>
        <v>1122.0556745182012</v>
      </c>
      <c r="BK20">
        <f t="shared" si="9"/>
        <v>954.24836601307186</v>
      </c>
      <c r="BL20">
        <f t="shared" si="10"/>
        <v>827.58620689655163</v>
      </c>
      <c r="BM20">
        <f t="shared" si="11"/>
        <v>68.126520681265205</v>
      </c>
      <c r="BN20">
        <f t="shared" si="12"/>
        <v>2967.9144385026734</v>
      </c>
      <c r="BO20">
        <f t="shared" si="13"/>
        <v>259.84251968503935</v>
      </c>
      <c r="BP20">
        <f t="shared" si="14"/>
        <v>194.34628975265019</v>
      </c>
      <c r="BQ20">
        <f t="shared" si="15"/>
        <v>163.14199395770393</v>
      </c>
      <c r="BR20">
        <f t="shared" si="16"/>
        <v>141.1764705882353</v>
      </c>
      <c r="BS20">
        <f t="shared" si="17"/>
        <v>152.94117647058823</v>
      </c>
      <c r="BT20">
        <f t="shared" si="18"/>
        <v>137.7952755905512</v>
      </c>
      <c r="BU20">
        <f t="shared" si="19"/>
        <v>6.2393162393162394</v>
      </c>
      <c r="BV20">
        <f t="shared" si="20"/>
        <v>4.8118481435127238</v>
      </c>
      <c r="BX20">
        <f t="shared" si="21"/>
        <v>1.2966569295683221</v>
      </c>
      <c r="CJ20">
        <v>0</v>
      </c>
      <c r="CK20">
        <v>0</v>
      </c>
      <c r="CL20">
        <v>0</v>
      </c>
      <c r="CM20">
        <v>0</v>
      </c>
      <c r="CN20">
        <v>0</v>
      </c>
      <c r="CX20">
        <v>0</v>
      </c>
      <c r="DC20" s="24">
        <f t="shared" si="0"/>
        <v>0</v>
      </c>
      <c r="DD20" s="24">
        <f t="shared" si="1"/>
        <v>0</v>
      </c>
      <c r="DE20" s="24">
        <f t="shared" si="3"/>
        <v>0</v>
      </c>
      <c r="DG20" s="5" t="e">
        <f t="shared" si="2"/>
        <v>#DIV/0!</v>
      </c>
    </row>
    <row r="21" spans="1:111" ht="15" thickBot="1">
      <c r="A21" s="11" t="s">
        <v>68</v>
      </c>
      <c r="B21" s="7" t="s">
        <v>59</v>
      </c>
      <c r="C21" s="8" t="s">
        <v>70</v>
      </c>
      <c r="D21" t="s">
        <v>79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11"/>
      <c r="P21" s="7"/>
      <c r="Q21" s="8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H21" s="9">
        <v>32</v>
      </c>
      <c r="AI21" s="9">
        <v>284</v>
      </c>
      <c r="AJ21" s="9">
        <v>73</v>
      </c>
      <c r="AK21" s="9">
        <v>510</v>
      </c>
      <c r="AL21" s="9">
        <v>154</v>
      </c>
      <c r="AM21" s="9">
        <v>47</v>
      </c>
      <c r="AN21" s="9">
        <v>16</v>
      </c>
      <c r="AO21" s="9">
        <v>121</v>
      </c>
      <c r="AP21" s="9">
        <v>74</v>
      </c>
      <c r="AQ21" s="9">
        <v>13</v>
      </c>
      <c r="AR21" s="9">
        <v>32</v>
      </c>
      <c r="AS21" s="9">
        <v>4.5</v>
      </c>
      <c r="AT21" s="9">
        <v>32</v>
      </c>
      <c r="AU21" s="9">
        <v>4.5</v>
      </c>
      <c r="AV21" s="12"/>
      <c r="BG21">
        <f t="shared" si="5"/>
        <v>135.0210970464135</v>
      </c>
      <c r="BH21">
        <f t="shared" si="6"/>
        <v>464.05228758169937</v>
      </c>
      <c r="BI21">
        <f t="shared" si="7"/>
        <v>768.42105263157896</v>
      </c>
      <c r="BJ21">
        <f t="shared" si="8"/>
        <v>1092.0770877944326</v>
      </c>
      <c r="BK21">
        <f t="shared" si="9"/>
        <v>1006.5359477124183</v>
      </c>
      <c r="BL21">
        <f t="shared" si="10"/>
        <v>810.34482758620686</v>
      </c>
      <c r="BM21">
        <f t="shared" si="11"/>
        <v>77.858880778588812</v>
      </c>
      <c r="BN21">
        <f t="shared" si="12"/>
        <v>3235.2941176470586</v>
      </c>
      <c r="BO21">
        <f t="shared" si="13"/>
        <v>291.33858267716533</v>
      </c>
      <c r="BP21">
        <f t="shared" si="14"/>
        <v>229.68197879858658</v>
      </c>
      <c r="BQ21">
        <f t="shared" si="15"/>
        <v>193.35347432024167</v>
      </c>
      <c r="BR21">
        <f t="shared" si="16"/>
        <v>176.47058823529412</v>
      </c>
      <c r="BS21">
        <f t="shared" si="17"/>
        <v>188.23529411764704</v>
      </c>
      <c r="BT21">
        <f t="shared" si="18"/>
        <v>177.16535433070868</v>
      </c>
      <c r="BU21">
        <f t="shared" si="19"/>
        <v>5.3472222222222223</v>
      </c>
      <c r="BV21">
        <f t="shared" si="20"/>
        <v>7.4546568627450984</v>
      </c>
      <c r="BX21">
        <f t="shared" si="21"/>
        <v>0.71729957805907174</v>
      </c>
      <c r="CJ21">
        <v>0</v>
      </c>
      <c r="CK21">
        <v>0</v>
      </c>
      <c r="CL21">
        <v>0</v>
      </c>
      <c r="CM21">
        <v>0</v>
      </c>
      <c r="CN21">
        <v>0</v>
      </c>
      <c r="CX21">
        <v>0</v>
      </c>
      <c r="DC21" s="24">
        <f t="shared" si="0"/>
        <v>0</v>
      </c>
      <c r="DD21" s="24">
        <f t="shared" si="1"/>
        <v>0</v>
      </c>
      <c r="DE21" s="24">
        <f t="shared" si="3"/>
        <v>0</v>
      </c>
      <c r="DG21" s="5" t="e">
        <f t="shared" si="2"/>
        <v>#DIV/0!</v>
      </c>
    </row>
    <row r="22" spans="1:111" ht="15" thickBot="1">
      <c r="A22" s="10" t="s">
        <v>69</v>
      </c>
      <c r="B22" s="7" t="s">
        <v>60</v>
      </c>
      <c r="C22" s="8" t="s">
        <v>70</v>
      </c>
      <c r="D22" t="s">
        <v>80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11"/>
      <c r="P22" s="7"/>
      <c r="Q22" s="8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H22" s="9">
        <v>51</v>
      </c>
      <c r="AI22" s="9">
        <v>372</v>
      </c>
      <c r="AJ22" s="9">
        <v>105</v>
      </c>
      <c r="AK22" s="9">
        <v>681</v>
      </c>
      <c r="AL22" s="9">
        <v>244</v>
      </c>
      <c r="AM22" s="9">
        <v>87</v>
      </c>
      <c r="AN22" s="9">
        <v>202</v>
      </c>
      <c r="AO22" s="9">
        <v>38</v>
      </c>
      <c r="AP22" s="9">
        <v>166</v>
      </c>
      <c r="AQ22" s="9">
        <v>29</v>
      </c>
      <c r="AR22" s="9">
        <v>80</v>
      </c>
      <c r="AS22" s="9">
        <v>12</v>
      </c>
      <c r="AT22" s="9">
        <v>71</v>
      </c>
      <c r="AU22" s="9">
        <v>10</v>
      </c>
      <c r="AV22" s="12"/>
      <c r="BG22">
        <f t="shared" si="5"/>
        <v>215.18987341772154</v>
      </c>
      <c r="BH22">
        <f t="shared" si="6"/>
        <v>607.84313725490199</v>
      </c>
      <c r="BI22">
        <f t="shared" si="7"/>
        <v>1105.2631578947369</v>
      </c>
      <c r="BJ22">
        <f t="shared" si="8"/>
        <v>1458.2441113490363</v>
      </c>
      <c r="BK22">
        <f t="shared" si="9"/>
        <v>1594.7712418300655</v>
      </c>
      <c r="BL22">
        <f t="shared" si="10"/>
        <v>1500</v>
      </c>
      <c r="BM22">
        <f t="shared" si="11"/>
        <v>982.96836982968375</v>
      </c>
      <c r="BN22">
        <f t="shared" si="12"/>
        <v>1016.0427807486631</v>
      </c>
      <c r="BO22">
        <f t="shared" si="13"/>
        <v>653.54330708661416</v>
      </c>
      <c r="BP22">
        <f t="shared" si="14"/>
        <v>512.3674911660778</v>
      </c>
      <c r="BQ22">
        <f t="shared" si="15"/>
        <v>483.38368580060421</v>
      </c>
      <c r="BR22">
        <f t="shared" si="16"/>
        <v>470.58823529411768</v>
      </c>
      <c r="BS22">
        <f t="shared" si="17"/>
        <v>417.64705882352939</v>
      </c>
      <c r="BT22">
        <f t="shared" si="18"/>
        <v>393.70078740157481</v>
      </c>
      <c r="BU22">
        <f t="shared" si="19"/>
        <v>3.8184663536776218</v>
      </c>
      <c r="BV22">
        <f t="shared" si="20"/>
        <v>7.4109957708573626</v>
      </c>
      <c r="BX22">
        <f t="shared" si="21"/>
        <v>0.51524335888750228</v>
      </c>
      <c r="CJ22">
        <v>0</v>
      </c>
      <c r="CK22">
        <v>0</v>
      </c>
      <c r="CL22">
        <v>0</v>
      </c>
      <c r="CM22">
        <v>0</v>
      </c>
      <c r="CN22">
        <v>0</v>
      </c>
      <c r="CX22">
        <v>0</v>
      </c>
      <c r="DC22" s="24">
        <f t="shared" si="0"/>
        <v>0</v>
      </c>
      <c r="DD22" s="24">
        <f t="shared" si="1"/>
        <v>0</v>
      </c>
      <c r="DE22" s="24">
        <f t="shared" si="3"/>
        <v>0</v>
      </c>
      <c r="DG22" s="5" t="e">
        <f t="shared" si="2"/>
        <v>#DIV/0!</v>
      </c>
    </row>
    <row r="23" spans="1:111" ht="15" thickBot="1">
      <c r="A23" s="10" t="s">
        <v>69</v>
      </c>
      <c r="B23" s="7" t="s">
        <v>60</v>
      </c>
      <c r="C23" s="8" t="s">
        <v>70</v>
      </c>
      <c r="D23" t="s">
        <v>81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11"/>
      <c r="P23" s="7"/>
      <c r="Q23" s="8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H23" s="9">
        <v>53</v>
      </c>
      <c r="AI23" s="9">
        <v>393</v>
      </c>
      <c r="AJ23" s="9">
        <v>109</v>
      </c>
      <c r="AK23" s="9">
        <v>675</v>
      </c>
      <c r="AL23" s="9">
        <v>237</v>
      </c>
      <c r="AM23" s="9">
        <v>83</v>
      </c>
      <c r="AN23" s="9">
        <v>187</v>
      </c>
      <c r="AO23" s="9">
        <v>35</v>
      </c>
      <c r="AP23" s="9">
        <v>161</v>
      </c>
      <c r="AQ23" s="9">
        <v>28</v>
      </c>
      <c r="AR23" s="9">
        <v>78</v>
      </c>
      <c r="AS23" s="9">
        <v>11</v>
      </c>
      <c r="AT23" s="9">
        <v>67</v>
      </c>
      <c r="AU23" s="9">
        <v>10</v>
      </c>
      <c r="AV23" s="12"/>
      <c r="BG23">
        <f t="shared" si="5"/>
        <v>223.62869198312237</v>
      </c>
      <c r="BH23">
        <f t="shared" si="6"/>
        <v>642.15686274509801</v>
      </c>
      <c r="BI23">
        <f t="shared" si="7"/>
        <v>1147.3684210526317</v>
      </c>
      <c r="BJ23">
        <f t="shared" si="8"/>
        <v>1445.3961456102784</v>
      </c>
      <c r="BK23">
        <f t="shared" si="9"/>
        <v>1549.0196078431372</v>
      </c>
      <c r="BL23">
        <f t="shared" si="10"/>
        <v>1431.0344827586207</v>
      </c>
      <c r="BM23">
        <f t="shared" si="11"/>
        <v>909.97566909975671</v>
      </c>
      <c r="BN23">
        <f t="shared" si="12"/>
        <v>935.82887700534752</v>
      </c>
      <c r="BO23">
        <f t="shared" si="13"/>
        <v>633.85826771653547</v>
      </c>
      <c r="BP23">
        <f t="shared" si="14"/>
        <v>494.69964664310959</v>
      </c>
      <c r="BQ23">
        <f t="shared" si="15"/>
        <v>471.2990936555891</v>
      </c>
      <c r="BR23">
        <f t="shared" si="16"/>
        <v>431.37254901960785</v>
      </c>
      <c r="BS23">
        <f t="shared" si="17"/>
        <v>394.11764705882348</v>
      </c>
      <c r="BT23">
        <f t="shared" si="18"/>
        <v>393.70078740157481</v>
      </c>
      <c r="BU23">
        <f t="shared" si="19"/>
        <v>3.9303482587064682</v>
      </c>
      <c r="BV23">
        <f t="shared" si="20"/>
        <v>6.9267480577136515</v>
      </c>
      <c r="BX23">
        <f t="shared" si="21"/>
        <v>0.56741608413628075</v>
      </c>
      <c r="CJ23">
        <v>0</v>
      </c>
      <c r="CK23">
        <v>0</v>
      </c>
      <c r="CL23">
        <v>0</v>
      </c>
      <c r="CM23">
        <v>0</v>
      </c>
      <c r="CN23">
        <v>0</v>
      </c>
      <c r="CX23">
        <v>0</v>
      </c>
      <c r="DC23" s="24">
        <f t="shared" si="0"/>
        <v>0</v>
      </c>
      <c r="DD23" s="24">
        <f t="shared" si="1"/>
        <v>0</v>
      </c>
      <c r="DE23" s="24">
        <f t="shared" si="3"/>
        <v>0</v>
      </c>
      <c r="DG23" s="5" t="e">
        <f t="shared" si="2"/>
        <v>#DIV/0!</v>
      </c>
    </row>
    <row r="24" spans="1:111" ht="15" thickBot="1">
      <c r="A24" s="10" t="s">
        <v>82</v>
      </c>
      <c r="B24" s="7" t="s">
        <v>87</v>
      </c>
      <c r="C24" s="7" t="s">
        <v>89</v>
      </c>
      <c r="D24" s="9" t="s">
        <v>393</v>
      </c>
      <c r="E24" s="9"/>
      <c r="F24" s="9"/>
      <c r="G24" s="9"/>
      <c r="H24" s="9"/>
      <c r="O24" s="9"/>
      <c r="P24" s="9"/>
      <c r="Q24" s="9"/>
      <c r="R24" s="9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F24" s="9">
        <v>56.1</v>
      </c>
      <c r="AG24" s="9">
        <v>834</v>
      </c>
      <c r="AH24" s="9">
        <v>17.2</v>
      </c>
      <c r="AI24" s="9">
        <v>107</v>
      </c>
      <c r="AJ24" s="9">
        <v>23.3</v>
      </c>
      <c r="AK24" s="9">
        <v>146</v>
      </c>
      <c r="AL24" s="9">
        <v>48.1</v>
      </c>
      <c r="AM24" s="9">
        <v>18</v>
      </c>
      <c r="AN24" s="9">
        <v>47.9</v>
      </c>
      <c r="AO24" s="9">
        <v>7.77</v>
      </c>
      <c r="AP24" s="9">
        <v>45</v>
      </c>
      <c r="AQ24" s="9">
        <v>9.33</v>
      </c>
      <c r="AR24" s="9">
        <v>25.5</v>
      </c>
      <c r="AS24" s="9">
        <v>3.74</v>
      </c>
      <c r="AT24" s="9">
        <v>26.3</v>
      </c>
      <c r="AU24" s="9">
        <v>3.67</v>
      </c>
      <c r="AV24" s="9">
        <v>14.6</v>
      </c>
      <c r="AW24" s="9">
        <v>48.6</v>
      </c>
      <c r="AX24" s="9">
        <v>21.7</v>
      </c>
      <c r="AY24" s="9">
        <v>8.4</v>
      </c>
      <c r="AZ24" s="12">
        <v>404</v>
      </c>
      <c r="BA24" s="9">
        <v>354</v>
      </c>
      <c r="BB24" s="9">
        <v>306</v>
      </c>
      <c r="BC24" s="9">
        <v>2312</v>
      </c>
      <c r="BE24" s="9">
        <v>1.1299999999999999</v>
      </c>
      <c r="BF24" s="9">
        <v>19.2</v>
      </c>
      <c r="BG24">
        <f t="shared" si="5"/>
        <v>72.573839662447256</v>
      </c>
      <c r="BH24">
        <f t="shared" si="6"/>
        <v>174.83660130718954</v>
      </c>
      <c r="BI24">
        <f t="shared" si="7"/>
        <v>245.26315789473685</v>
      </c>
      <c r="BJ24">
        <f t="shared" si="8"/>
        <v>312.63383297644538</v>
      </c>
      <c r="BK24">
        <f t="shared" si="9"/>
        <v>314.3790849673203</v>
      </c>
      <c r="BL24">
        <f t="shared" si="10"/>
        <v>310.34482758620686</v>
      </c>
      <c r="BM24">
        <f t="shared" si="11"/>
        <v>233.09002433090026</v>
      </c>
      <c r="BN24">
        <f t="shared" si="12"/>
        <v>207.75401069518713</v>
      </c>
      <c r="BO24">
        <f t="shared" si="13"/>
        <v>177.16535433070865</v>
      </c>
      <c r="BP24">
        <f t="shared" si="14"/>
        <v>164.84098939929331</v>
      </c>
      <c r="BQ24">
        <f t="shared" si="15"/>
        <v>154.0785498489426</v>
      </c>
      <c r="BR24">
        <f t="shared" si="16"/>
        <v>146.66666666666669</v>
      </c>
      <c r="BS24">
        <f t="shared" si="17"/>
        <v>154.70588235294116</v>
      </c>
      <c r="BT24">
        <f t="shared" si="18"/>
        <v>144.48818897637796</v>
      </c>
      <c r="BU24">
        <f t="shared" si="19"/>
        <v>2.0321081537811581</v>
      </c>
      <c r="BV24">
        <f t="shared" ref="BV24:BV51" si="22">BK24/BG24</f>
        <v>4.3318513451892393</v>
      </c>
      <c r="BX24">
        <f t="shared" ref="BX24:BX51" si="23">BG24/BS24</f>
        <v>0.46910846930098993</v>
      </c>
      <c r="CJ24">
        <v>0</v>
      </c>
      <c r="CK24">
        <v>0</v>
      </c>
      <c r="CL24">
        <v>0</v>
      </c>
      <c r="CM24">
        <v>0</v>
      </c>
      <c r="CN24">
        <v>0</v>
      </c>
      <c r="CX24">
        <v>0</v>
      </c>
      <c r="DC24" s="24">
        <f t="shared" si="0"/>
        <v>0</v>
      </c>
      <c r="DD24" s="24">
        <f t="shared" si="1"/>
        <v>0</v>
      </c>
      <c r="DE24" s="24">
        <f t="shared" si="3"/>
        <v>0</v>
      </c>
      <c r="DG24" s="5">
        <f t="shared" si="2"/>
        <v>57.12328767123288</v>
      </c>
    </row>
    <row r="25" spans="1:111" ht="15" thickBot="1">
      <c r="A25" s="8"/>
      <c r="B25" s="7"/>
      <c r="C25" s="7"/>
      <c r="D25" s="9"/>
      <c r="E25" s="9"/>
      <c r="F25" s="9"/>
      <c r="G25" s="9"/>
      <c r="H25" s="9"/>
      <c r="O25" s="9"/>
      <c r="P25" s="9"/>
      <c r="Q25" s="9"/>
      <c r="R25" s="9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12"/>
      <c r="BA25" s="9"/>
      <c r="BB25" s="9"/>
      <c r="BC25" s="9"/>
      <c r="BE25" s="9"/>
      <c r="BF25" s="9"/>
      <c r="CJ25">
        <v>0</v>
      </c>
      <c r="CK25">
        <v>0</v>
      </c>
      <c r="CL25">
        <v>0</v>
      </c>
      <c r="CM25">
        <v>0</v>
      </c>
      <c r="CN25">
        <v>0</v>
      </c>
      <c r="DC25" s="24">
        <f t="shared" si="0"/>
        <v>0</v>
      </c>
      <c r="DD25" s="24">
        <f t="shared" si="1"/>
        <v>0</v>
      </c>
      <c r="DE25" s="24">
        <f t="shared" si="3"/>
        <v>0</v>
      </c>
      <c r="DG25" s="5"/>
    </row>
    <row r="26" spans="1:111" ht="15" thickBot="1">
      <c r="A26" s="10" t="s">
        <v>83</v>
      </c>
      <c r="B26" s="7" t="s">
        <v>87</v>
      </c>
      <c r="C26" s="7" t="s">
        <v>90</v>
      </c>
      <c r="D26" s="9" t="s">
        <v>104</v>
      </c>
      <c r="E26" s="9"/>
      <c r="F26" s="9"/>
      <c r="G26" s="9"/>
      <c r="H26" s="9"/>
      <c r="O26" s="9"/>
      <c r="P26" s="9"/>
      <c r="Q26" s="9"/>
      <c r="R26" s="9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F26" s="9">
        <v>48.2</v>
      </c>
      <c r="AG26" s="9">
        <v>797</v>
      </c>
      <c r="AH26" s="9">
        <v>12.3</v>
      </c>
      <c r="AI26" s="9">
        <v>74.099999999999994</v>
      </c>
      <c r="AJ26" s="9">
        <v>16.100000000000001</v>
      </c>
      <c r="AK26" s="9">
        <v>102</v>
      </c>
      <c r="AL26" s="9">
        <v>34.4</v>
      </c>
      <c r="AM26" s="9">
        <v>12.5</v>
      </c>
      <c r="AN26" s="9">
        <v>33.700000000000003</v>
      </c>
      <c r="AO26" s="9">
        <v>5.4</v>
      </c>
      <c r="AP26" s="9">
        <v>31.5</v>
      </c>
      <c r="AQ26" s="9">
        <v>6.44</v>
      </c>
      <c r="AR26" s="9">
        <v>17.8</v>
      </c>
      <c r="AS26" s="9">
        <v>2.74</v>
      </c>
      <c r="AT26" s="9">
        <v>18.899999999999999</v>
      </c>
      <c r="AU26" s="9">
        <v>2.67</v>
      </c>
      <c r="AV26" s="9">
        <v>17.8</v>
      </c>
      <c r="AW26" s="9">
        <v>19.2</v>
      </c>
      <c r="AX26" s="9">
        <v>13.1</v>
      </c>
      <c r="AY26" s="9">
        <v>4.5999999999999996</v>
      </c>
      <c r="AZ26" s="12">
        <v>307</v>
      </c>
      <c r="BA26" s="9">
        <v>187</v>
      </c>
      <c r="BB26" s="9">
        <v>211</v>
      </c>
      <c r="BC26" s="9">
        <v>2842</v>
      </c>
      <c r="BE26" s="9">
        <v>0.86</v>
      </c>
      <c r="BF26" s="9">
        <v>14.4</v>
      </c>
      <c r="BG26">
        <f t="shared" si="5"/>
        <v>51.898734177215196</v>
      </c>
      <c r="BH26">
        <f t="shared" si="6"/>
        <v>121.07843137254902</v>
      </c>
      <c r="BI26">
        <f t="shared" si="7"/>
        <v>169.47368421052633</v>
      </c>
      <c r="BJ26">
        <f t="shared" si="8"/>
        <v>218.4154175588865</v>
      </c>
      <c r="BK26">
        <f t="shared" si="9"/>
        <v>224.83660130718954</v>
      </c>
      <c r="BL26">
        <f t="shared" si="10"/>
        <v>215.51724137931032</v>
      </c>
      <c r="BM26">
        <f t="shared" si="11"/>
        <v>163.9902676399027</v>
      </c>
      <c r="BN26">
        <f t="shared" si="12"/>
        <v>144.38502673796791</v>
      </c>
      <c r="BO26">
        <f t="shared" si="13"/>
        <v>124.01574803149606</v>
      </c>
      <c r="BP26">
        <f t="shared" si="14"/>
        <v>113.78091872791521</v>
      </c>
      <c r="BQ26">
        <f t="shared" si="15"/>
        <v>107.55287009063444</v>
      </c>
      <c r="BR26">
        <f t="shared" si="16"/>
        <v>107.45098039215688</v>
      </c>
      <c r="BS26">
        <f t="shared" si="17"/>
        <v>111.17647058823528</v>
      </c>
      <c r="BT26">
        <f t="shared" si="18"/>
        <v>105.11811023622047</v>
      </c>
      <c r="BU26">
        <f t="shared" si="19"/>
        <v>2.0223398001175781</v>
      </c>
      <c r="BV26">
        <f t="shared" si="22"/>
        <v>4.3322174398214566</v>
      </c>
      <c r="BX26">
        <f t="shared" si="23"/>
        <v>0.46681401111780874</v>
      </c>
      <c r="CJ26">
        <v>0</v>
      </c>
      <c r="CK26">
        <v>0</v>
      </c>
      <c r="CL26">
        <v>0</v>
      </c>
      <c r="CM26">
        <v>0</v>
      </c>
      <c r="CN26">
        <v>0</v>
      </c>
      <c r="CX26">
        <v>0</v>
      </c>
      <c r="DC26" s="24">
        <f t="shared" si="0"/>
        <v>0</v>
      </c>
      <c r="DD26" s="24">
        <f t="shared" si="1"/>
        <v>0</v>
      </c>
      <c r="DE26" s="24">
        <f t="shared" si="3"/>
        <v>0</v>
      </c>
      <c r="DG26" s="5">
        <f t="shared" si="2"/>
        <v>44.775280898876403</v>
      </c>
    </row>
    <row r="27" spans="1:111" ht="15" thickBot="1">
      <c r="A27" s="13"/>
      <c r="B27" s="7"/>
      <c r="C27" s="7"/>
      <c r="D27" s="9"/>
      <c r="E27" s="9"/>
      <c r="F27" s="9"/>
      <c r="G27" s="9"/>
      <c r="H27" s="9"/>
      <c r="O27" s="9"/>
      <c r="P27" s="9"/>
      <c r="Q27" s="9"/>
      <c r="R27" s="9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12"/>
      <c r="BA27" s="9"/>
      <c r="BB27" s="9"/>
      <c r="BC27" s="9"/>
      <c r="BE27" s="9"/>
      <c r="BF27" s="9"/>
      <c r="CJ27">
        <v>0</v>
      </c>
      <c r="CK27">
        <v>0</v>
      </c>
      <c r="CL27">
        <v>0</v>
      </c>
      <c r="CM27">
        <v>0</v>
      </c>
      <c r="CN27">
        <v>0</v>
      </c>
      <c r="DC27" s="24">
        <f t="shared" si="0"/>
        <v>0</v>
      </c>
      <c r="DD27" s="24">
        <f t="shared" si="1"/>
        <v>0</v>
      </c>
      <c r="DE27" s="24">
        <f t="shared" si="3"/>
        <v>0</v>
      </c>
      <c r="DG27" s="5"/>
    </row>
    <row r="28" spans="1:111" ht="15" thickBot="1">
      <c r="A28" s="8"/>
      <c r="B28" s="7"/>
      <c r="C28" s="7" t="s">
        <v>91</v>
      </c>
      <c r="D28" s="9" t="s">
        <v>104</v>
      </c>
      <c r="E28" s="9"/>
      <c r="F28" s="9"/>
      <c r="G28" s="9"/>
      <c r="H28" s="9"/>
      <c r="O28" s="9"/>
      <c r="P28" s="9"/>
      <c r="Q28" s="9"/>
      <c r="R28" s="9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F28" s="9">
        <v>82.6</v>
      </c>
      <c r="AG28" s="9">
        <v>510</v>
      </c>
      <c r="AH28" s="9">
        <v>65.599999999999994</v>
      </c>
      <c r="AI28" s="9">
        <v>258</v>
      </c>
      <c r="AJ28" s="9">
        <v>42.3</v>
      </c>
      <c r="AK28" s="9">
        <v>215</v>
      </c>
      <c r="AL28" s="9">
        <v>49.1</v>
      </c>
      <c r="AM28" s="9">
        <v>15.3</v>
      </c>
      <c r="AN28" s="9">
        <v>36.200000000000003</v>
      </c>
      <c r="AO28" s="9">
        <v>4.75</v>
      </c>
      <c r="AP28" s="9">
        <v>21.9</v>
      </c>
      <c r="AQ28" s="9">
        <v>3.49</v>
      </c>
      <c r="AR28" s="9">
        <v>7.35</v>
      </c>
      <c r="AS28" s="9">
        <v>0.75</v>
      </c>
      <c r="AT28" s="9">
        <v>3.78</v>
      </c>
      <c r="AU28" s="9">
        <v>0.44</v>
      </c>
      <c r="AV28" s="9">
        <v>11.2</v>
      </c>
      <c r="AW28" s="9">
        <v>11.6</v>
      </c>
      <c r="AX28" s="9">
        <v>18.399999999999999</v>
      </c>
      <c r="AY28" s="9">
        <v>19.100000000000001</v>
      </c>
      <c r="AZ28" s="12">
        <v>69</v>
      </c>
      <c r="BA28" s="9">
        <v>451</v>
      </c>
      <c r="BB28" s="9">
        <v>76.2</v>
      </c>
      <c r="BC28" s="9">
        <v>966</v>
      </c>
      <c r="BE28" s="9" t="s">
        <v>95</v>
      </c>
      <c r="BF28" s="9">
        <v>12.5</v>
      </c>
      <c r="BG28">
        <f t="shared" si="5"/>
        <v>276.7932489451477</v>
      </c>
      <c r="BH28">
        <f t="shared" si="6"/>
        <v>421.56862745098039</v>
      </c>
      <c r="BI28">
        <f t="shared" si="7"/>
        <v>445.26315789473682</v>
      </c>
      <c r="BJ28">
        <f t="shared" si="8"/>
        <v>460.38543897216272</v>
      </c>
      <c r="BK28">
        <f t="shared" si="9"/>
        <v>320.9150326797386</v>
      </c>
      <c r="BL28">
        <f t="shared" si="10"/>
        <v>263.79310344827587</v>
      </c>
      <c r="BM28">
        <f t="shared" si="11"/>
        <v>176.15571776155721</v>
      </c>
      <c r="BN28">
        <f t="shared" si="12"/>
        <v>127.00534759358288</v>
      </c>
      <c r="BO28">
        <f t="shared" si="13"/>
        <v>86.220472440944874</v>
      </c>
      <c r="BP28">
        <f t="shared" si="14"/>
        <v>61.660777385159015</v>
      </c>
      <c r="BQ28">
        <f t="shared" si="15"/>
        <v>44.410876132930511</v>
      </c>
      <c r="BR28">
        <f t="shared" si="16"/>
        <v>29.411764705882355</v>
      </c>
      <c r="BS28">
        <f t="shared" si="17"/>
        <v>22.235294117647054</v>
      </c>
      <c r="BT28">
        <f t="shared" si="18"/>
        <v>17.322834645669293</v>
      </c>
      <c r="BU28">
        <f t="shared" si="19"/>
        <v>14.432686654908881</v>
      </c>
      <c r="BV28">
        <f t="shared" si="22"/>
        <v>1.1594033955045433</v>
      </c>
      <c r="BX28">
        <f t="shared" si="23"/>
        <v>12.448373629808232</v>
      </c>
      <c r="CJ28">
        <v>0</v>
      </c>
      <c r="CK28">
        <v>0</v>
      </c>
      <c r="CL28">
        <v>0</v>
      </c>
      <c r="CM28">
        <v>0</v>
      </c>
      <c r="CN28">
        <v>0</v>
      </c>
      <c r="CX28">
        <v>0</v>
      </c>
      <c r="DC28" s="24">
        <f t="shared" si="0"/>
        <v>0</v>
      </c>
      <c r="DD28" s="24">
        <f t="shared" si="1"/>
        <v>0</v>
      </c>
      <c r="DE28" s="24">
        <f t="shared" si="3"/>
        <v>0</v>
      </c>
      <c r="DG28" s="5">
        <f t="shared" si="2"/>
        <v>45.535714285714292</v>
      </c>
    </row>
    <row r="29" spans="1:111" ht="15" thickBot="1">
      <c r="A29" s="10" t="s">
        <v>84</v>
      </c>
      <c r="B29" s="7" t="s">
        <v>56</v>
      </c>
      <c r="C29" s="7" t="s">
        <v>89</v>
      </c>
      <c r="D29" s="9" t="s">
        <v>104</v>
      </c>
      <c r="E29" s="9"/>
      <c r="F29" s="9"/>
      <c r="G29" s="9"/>
      <c r="H29" s="9"/>
      <c r="O29" s="9"/>
      <c r="P29" s="9"/>
      <c r="Q29" s="9"/>
      <c r="R29" s="9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F29" s="9">
        <v>49.3</v>
      </c>
      <c r="AG29" s="9">
        <v>2366</v>
      </c>
      <c r="AH29" s="9">
        <v>13.2</v>
      </c>
      <c r="AI29" s="9">
        <v>86.7</v>
      </c>
      <c r="AJ29" s="9">
        <v>19.3</v>
      </c>
      <c r="AK29" s="9">
        <v>127</v>
      </c>
      <c r="AL29" s="9">
        <v>46.5</v>
      </c>
      <c r="AM29" s="9">
        <v>18.3</v>
      </c>
      <c r="AN29" s="9">
        <v>52.2</v>
      </c>
      <c r="AO29" s="9">
        <v>9.09</v>
      </c>
      <c r="AP29" s="9">
        <v>56.7</v>
      </c>
      <c r="AQ29" s="9">
        <v>12.4</v>
      </c>
      <c r="AR29" s="9">
        <v>34.9</v>
      </c>
      <c r="AS29" s="9">
        <v>5.38</v>
      </c>
      <c r="AT29" s="9">
        <v>37.4</v>
      </c>
      <c r="AU29" s="9">
        <v>5.13</v>
      </c>
      <c r="AV29" s="9">
        <v>20.5</v>
      </c>
      <c r="AW29" s="9">
        <v>35.5</v>
      </c>
      <c r="AX29" s="9">
        <v>21.5</v>
      </c>
      <c r="AY29" s="9">
        <v>5</v>
      </c>
      <c r="AZ29" s="12">
        <v>246</v>
      </c>
      <c r="BA29" s="9">
        <v>246</v>
      </c>
      <c r="BB29" s="9">
        <v>365</v>
      </c>
      <c r="BC29" s="9">
        <v>3039</v>
      </c>
      <c r="BE29" s="9">
        <v>1.82</v>
      </c>
      <c r="BF29" s="9">
        <v>17.100000000000001</v>
      </c>
      <c r="BG29">
        <f t="shared" si="5"/>
        <v>55.696202531645568</v>
      </c>
      <c r="BH29">
        <f t="shared" si="6"/>
        <v>141.66666666666669</v>
      </c>
      <c r="BI29">
        <f t="shared" si="7"/>
        <v>203.15789473684211</v>
      </c>
      <c r="BJ29">
        <f t="shared" si="8"/>
        <v>271.94860813704497</v>
      </c>
      <c r="BK29">
        <f t="shared" si="9"/>
        <v>303.92156862745099</v>
      </c>
      <c r="BL29">
        <f t="shared" si="10"/>
        <v>315.51724137931035</v>
      </c>
      <c r="BM29">
        <f t="shared" si="11"/>
        <v>254.01459854014601</v>
      </c>
      <c r="BN29">
        <f t="shared" si="12"/>
        <v>243.04812834224597</v>
      </c>
      <c r="BO29">
        <f t="shared" si="13"/>
        <v>223.22834645669292</v>
      </c>
      <c r="BP29">
        <f t="shared" si="14"/>
        <v>219.08127208480568</v>
      </c>
      <c r="BQ29">
        <f t="shared" si="15"/>
        <v>210.87613293051356</v>
      </c>
      <c r="BR29">
        <f t="shared" si="16"/>
        <v>210.98039215686276</v>
      </c>
      <c r="BS29">
        <f t="shared" si="17"/>
        <v>219.99999999999997</v>
      </c>
      <c r="BT29">
        <f t="shared" si="18"/>
        <v>201.96850393700788</v>
      </c>
      <c r="BU29">
        <f t="shared" si="19"/>
        <v>1.381461675579323</v>
      </c>
      <c r="BV29">
        <f t="shared" si="22"/>
        <v>5.4567736185383247</v>
      </c>
      <c r="BX29">
        <f t="shared" si="23"/>
        <v>0.25316455696202533</v>
      </c>
      <c r="CJ29">
        <v>0</v>
      </c>
      <c r="CK29">
        <v>0</v>
      </c>
      <c r="CL29">
        <v>0</v>
      </c>
      <c r="CM29">
        <v>0</v>
      </c>
      <c r="CN29">
        <v>0</v>
      </c>
      <c r="CX29">
        <v>0</v>
      </c>
      <c r="DC29" s="24">
        <f t="shared" si="0"/>
        <v>0</v>
      </c>
      <c r="DD29" s="24">
        <f t="shared" si="1"/>
        <v>0</v>
      </c>
      <c r="DE29" s="24">
        <f t="shared" si="3"/>
        <v>0</v>
      </c>
      <c r="DG29" s="5">
        <f t="shared" si="2"/>
        <v>115.41463414634147</v>
      </c>
    </row>
    <row r="30" spans="1:111" ht="15" thickBot="1">
      <c r="A30" s="8"/>
      <c r="B30" s="7"/>
      <c r="C30" s="7"/>
      <c r="D30" s="9"/>
      <c r="E30" s="9"/>
      <c r="F30" s="9"/>
      <c r="G30" s="9"/>
      <c r="H30" s="9"/>
      <c r="O30" s="9"/>
      <c r="P30" s="9"/>
      <c r="Q30" s="9"/>
      <c r="R30" s="9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12"/>
      <c r="BA30" s="9"/>
      <c r="BB30" s="9"/>
      <c r="BC30" s="9"/>
      <c r="BE30" s="9"/>
      <c r="BF30" s="9"/>
      <c r="CJ30">
        <v>0</v>
      </c>
      <c r="CK30">
        <v>0</v>
      </c>
      <c r="CL30">
        <v>0</v>
      </c>
      <c r="CM30">
        <v>0</v>
      </c>
      <c r="CN30">
        <v>0</v>
      </c>
      <c r="DC30" s="24">
        <f t="shared" si="0"/>
        <v>0</v>
      </c>
      <c r="DD30" s="24">
        <f t="shared" si="1"/>
        <v>0</v>
      </c>
      <c r="DE30" s="24">
        <f t="shared" si="3"/>
        <v>0</v>
      </c>
      <c r="DG30" s="5"/>
    </row>
    <row r="31" spans="1:111" ht="15" thickBot="1">
      <c r="A31" s="10" t="s">
        <v>85</v>
      </c>
      <c r="B31" s="7" t="s">
        <v>56</v>
      </c>
      <c r="C31" s="7" t="s">
        <v>92</v>
      </c>
      <c r="D31" s="9" t="s">
        <v>104</v>
      </c>
      <c r="E31" s="9"/>
      <c r="F31" s="9"/>
      <c r="G31" s="9"/>
      <c r="H31" s="9"/>
      <c r="O31" s="9"/>
      <c r="P31" s="9"/>
      <c r="Q31" s="9"/>
      <c r="R31" s="9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F31" s="9">
        <v>47.6</v>
      </c>
      <c r="AG31" s="9">
        <v>871</v>
      </c>
      <c r="AH31" s="9">
        <v>13.5</v>
      </c>
      <c r="AI31" s="9">
        <v>82.5</v>
      </c>
      <c r="AJ31" s="9">
        <v>18</v>
      </c>
      <c r="AK31" s="9">
        <v>116</v>
      </c>
      <c r="AL31" s="9">
        <v>38.1</v>
      </c>
      <c r="AM31" s="9">
        <v>14</v>
      </c>
      <c r="AN31" s="9">
        <v>37.6</v>
      </c>
      <c r="AO31" s="9">
        <v>6.11</v>
      </c>
      <c r="AP31" s="9">
        <v>35.6</v>
      </c>
      <c r="AQ31" s="9">
        <v>7.36</v>
      </c>
      <c r="AR31" s="9">
        <v>19.8</v>
      </c>
      <c r="AS31" s="9">
        <v>2.98</v>
      </c>
      <c r="AT31" s="9">
        <v>20.6</v>
      </c>
      <c r="AU31" s="9">
        <v>2.92</v>
      </c>
      <c r="AV31" s="9">
        <v>13.9</v>
      </c>
      <c r="AW31" s="9">
        <v>25.5</v>
      </c>
      <c r="AX31" s="9">
        <v>15.3</v>
      </c>
      <c r="AY31" s="9">
        <v>4.2</v>
      </c>
      <c r="AZ31" s="12">
        <v>286</v>
      </c>
      <c r="BA31" s="9">
        <v>182</v>
      </c>
      <c r="BB31" s="9">
        <v>238</v>
      </c>
      <c r="BC31" s="9">
        <v>2825</v>
      </c>
      <c r="BE31" s="9">
        <v>1.1599999999999999</v>
      </c>
      <c r="BF31" s="9">
        <v>14.5</v>
      </c>
      <c r="BG31">
        <f t="shared" si="5"/>
        <v>56.962025316455701</v>
      </c>
      <c r="BH31">
        <f t="shared" si="6"/>
        <v>134.80392156862746</v>
      </c>
      <c r="BI31">
        <f t="shared" si="7"/>
        <v>189.4736842105263</v>
      </c>
      <c r="BJ31">
        <f t="shared" si="8"/>
        <v>248.39400428265523</v>
      </c>
      <c r="BK31">
        <f t="shared" si="9"/>
        <v>249.01960784313727</v>
      </c>
      <c r="BL31">
        <f t="shared" si="10"/>
        <v>241.37931034482759</v>
      </c>
      <c r="BM31">
        <f t="shared" si="11"/>
        <v>182.96836982968372</v>
      </c>
      <c r="BN31">
        <f t="shared" si="12"/>
        <v>163.36898395721926</v>
      </c>
      <c r="BO31">
        <f t="shared" si="13"/>
        <v>140.15748031496062</v>
      </c>
      <c r="BP31">
        <f t="shared" si="14"/>
        <v>130.03533568904595</v>
      </c>
      <c r="BQ31">
        <f t="shared" si="15"/>
        <v>119.63746223564955</v>
      </c>
      <c r="BR31">
        <f t="shared" si="16"/>
        <v>116.86274509803923</v>
      </c>
      <c r="BS31">
        <f t="shared" si="17"/>
        <v>121.17647058823529</v>
      </c>
      <c r="BT31">
        <f t="shared" si="18"/>
        <v>114.96062992125985</v>
      </c>
      <c r="BU31">
        <f t="shared" si="19"/>
        <v>2.0550161812297736</v>
      </c>
      <c r="BV31">
        <f t="shared" si="22"/>
        <v>4.3716775599128539</v>
      </c>
      <c r="BX31">
        <f t="shared" si="23"/>
        <v>0.47007496620376066</v>
      </c>
      <c r="CJ31">
        <v>0</v>
      </c>
      <c r="CK31">
        <v>0</v>
      </c>
      <c r="CL31">
        <v>0</v>
      </c>
      <c r="CM31">
        <v>0</v>
      </c>
      <c r="CN31">
        <v>0</v>
      </c>
      <c r="CX31">
        <v>0</v>
      </c>
      <c r="DC31" s="24">
        <f t="shared" si="0"/>
        <v>0</v>
      </c>
      <c r="DD31" s="24">
        <f t="shared" si="1"/>
        <v>0</v>
      </c>
      <c r="DE31" s="24">
        <f t="shared" si="3"/>
        <v>0</v>
      </c>
      <c r="DG31" s="5">
        <f t="shared" si="2"/>
        <v>62.661870503597122</v>
      </c>
    </row>
    <row r="32" spans="1:111" ht="15" thickBot="1">
      <c r="A32" s="13"/>
      <c r="B32" s="7"/>
      <c r="C32" s="7"/>
      <c r="D32" s="9"/>
      <c r="E32" s="9"/>
      <c r="F32" s="9"/>
      <c r="G32" s="9"/>
      <c r="H32" s="9"/>
      <c r="O32" s="9"/>
      <c r="P32" s="9"/>
      <c r="Q32" s="9"/>
      <c r="R32" s="9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12"/>
      <c r="BA32" s="9"/>
      <c r="BB32" s="9"/>
      <c r="BC32" s="9"/>
      <c r="BE32" s="9"/>
      <c r="BF32" s="9"/>
      <c r="CJ32">
        <v>0</v>
      </c>
      <c r="CK32">
        <v>0</v>
      </c>
      <c r="CL32">
        <v>0</v>
      </c>
      <c r="CM32">
        <v>0</v>
      </c>
      <c r="CN32">
        <v>0</v>
      </c>
      <c r="DC32" s="24">
        <f t="shared" si="0"/>
        <v>0</v>
      </c>
      <c r="DD32" s="24">
        <f t="shared" si="1"/>
        <v>0</v>
      </c>
      <c r="DE32" s="24">
        <f t="shared" si="3"/>
        <v>0</v>
      </c>
      <c r="DG32" s="5"/>
    </row>
    <row r="33" spans="1:111" ht="18.5" thickBot="1">
      <c r="A33" s="13"/>
      <c r="B33" s="7"/>
      <c r="C33" s="7" t="s">
        <v>93</v>
      </c>
      <c r="D33" s="9" t="s">
        <v>104</v>
      </c>
      <c r="E33" s="9"/>
      <c r="F33" s="9"/>
      <c r="G33" s="9"/>
      <c r="H33" s="9"/>
      <c r="O33" s="9"/>
      <c r="P33" s="9"/>
      <c r="Q33" s="9"/>
      <c r="R33" s="9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F33" s="9">
        <v>78.2</v>
      </c>
      <c r="AG33" s="9">
        <v>717</v>
      </c>
      <c r="AH33" s="9">
        <v>92.4</v>
      </c>
      <c r="AI33" s="9">
        <v>448</v>
      </c>
      <c r="AJ33" s="9">
        <v>71.7</v>
      </c>
      <c r="AK33" s="9">
        <v>304</v>
      </c>
      <c r="AL33" s="9">
        <v>43.4</v>
      </c>
      <c r="AM33" s="9">
        <v>11.8</v>
      </c>
      <c r="AN33" s="9">
        <v>28.1</v>
      </c>
      <c r="AO33" s="9">
        <v>3.27</v>
      </c>
      <c r="AP33" s="9">
        <v>16.399999999999999</v>
      </c>
      <c r="AQ33" s="9">
        <v>2.72</v>
      </c>
      <c r="AR33" s="9">
        <v>5.94</v>
      </c>
      <c r="AS33" s="9">
        <v>0.73</v>
      </c>
      <c r="AT33" s="9">
        <v>4.37</v>
      </c>
      <c r="AU33" s="9">
        <v>0.55000000000000004</v>
      </c>
      <c r="AV33" s="9">
        <v>24.8</v>
      </c>
      <c r="AW33" s="9">
        <v>33.299999999999997</v>
      </c>
      <c r="AX33" s="9">
        <v>31.6</v>
      </c>
      <c r="AY33" s="9">
        <v>14</v>
      </c>
      <c r="AZ33" s="12">
        <v>142</v>
      </c>
      <c r="BA33" s="9">
        <v>363</v>
      </c>
      <c r="BB33" s="9">
        <v>70.400000000000006</v>
      </c>
      <c r="BC33" s="9">
        <v>1112</v>
      </c>
      <c r="BE33" s="9" t="s">
        <v>95</v>
      </c>
      <c r="BF33" s="9">
        <v>14.6</v>
      </c>
      <c r="BG33">
        <f t="shared" si="5"/>
        <v>389.87341772151905</v>
      </c>
      <c r="BH33">
        <f t="shared" si="6"/>
        <v>732.02614379084969</v>
      </c>
      <c r="BI33">
        <f t="shared" si="7"/>
        <v>754.73684210526324</v>
      </c>
      <c r="BJ33">
        <f t="shared" si="8"/>
        <v>650.96359743040682</v>
      </c>
      <c r="BK33">
        <f t="shared" si="9"/>
        <v>283.66013071895424</v>
      </c>
      <c r="BL33">
        <f t="shared" si="10"/>
        <v>203.44827586206895</v>
      </c>
      <c r="BM33">
        <f t="shared" si="11"/>
        <v>136.7396593673966</v>
      </c>
      <c r="BN33">
        <f t="shared" si="12"/>
        <v>87.433155080213893</v>
      </c>
      <c r="BO33">
        <f t="shared" si="13"/>
        <v>64.566929133858267</v>
      </c>
      <c r="BP33">
        <f t="shared" si="14"/>
        <v>48.056537102473506</v>
      </c>
      <c r="BQ33">
        <f t="shared" si="15"/>
        <v>35.891238670694868</v>
      </c>
      <c r="BR33">
        <f t="shared" si="16"/>
        <v>28.627450980392158</v>
      </c>
      <c r="BS33">
        <f t="shared" si="17"/>
        <v>25.705882352941174</v>
      </c>
      <c r="BT33">
        <f t="shared" si="18"/>
        <v>21.653543307086618</v>
      </c>
      <c r="BU33">
        <f t="shared" si="19"/>
        <v>11.034833460462751</v>
      </c>
      <c r="BV33">
        <f t="shared" si="22"/>
        <v>0.72756981580510982</v>
      </c>
      <c r="BX33">
        <f t="shared" si="23"/>
        <v>15.166700460562527</v>
      </c>
      <c r="CJ33">
        <v>0</v>
      </c>
      <c r="CK33">
        <v>0</v>
      </c>
      <c r="CL33">
        <v>0</v>
      </c>
      <c r="CM33">
        <v>0</v>
      </c>
      <c r="CN33">
        <v>0</v>
      </c>
      <c r="CX33">
        <v>0</v>
      </c>
      <c r="DC33" s="24">
        <f t="shared" si="0"/>
        <v>0</v>
      </c>
      <c r="DD33" s="24">
        <f t="shared" si="1"/>
        <v>0</v>
      </c>
      <c r="DE33" s="24">
        <f t="shared" si="3"/>
        <v>0</v>
      </c>
      <c r="DG33" s="5">
        <f t="shared" si="2"/>
        <v>28.911290322580644</v>
      </c>
    </row>
    <row r="34" spans="1:111" ht="15" thickBot="1">
      <c r="A34" s="8"/>
      <c r="B34" s="7"/>
      <c r="C34" s="7"/>
      <c r="D34" s="9"/>
      <c r="E34" s="9"/>
      <c r="F34" s="9"/>
      <c r="G34" s="9"/>
      <c r="H34" s="9"/>
      <c r="O34" s="9"/>
      <c r="P34" s="9"/>
      <c r="Q34" s="9"/>
      <c r="R34" s="9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12"/>
      <c r="BA34" s="9"/>
      <c r="BB34" s="9"/>
      <c r="BC34" s="9"/>
      <c r="BE34" s="9"/>
      <c r="BF34" s="9"/>
      <c r="CJ34">
        <v>0</v>
      </c>
      <c r="CK34">
        <v>0</v>
      </c>
      <c r="CL34">
        <v>0</v>
      </c>
      <c r="CM34">
        <v>0</v>
      </c>
      <c r="CN34">
        <v>0</v>
      </c>
      <c r="DC34" s="24">
        <f t="shared" si="0"/>
        <v>0</v>
      </c>
      <c r="DD34" s="24">
        <f t="shared" si="1"/>
        <v>0</v>
      </c>
      <c r="DE34" s="24">
        <f t="shared" si="3"/>
        <v>0</v>
      </c>
      <c r="DG34" s="5"/>
    </row>
    <row r="35" spans="1:111" ht="15" thickBot="1">
      <c r="A35" s="10" t="s">
        <v>86</v>
      </c>
      <c r="B35" s="7" t="s">
        <v>88</v>
      </c>
      <c r="C35" s="7" t="s">
        <v>94</v>
      </c>
      <c r="D35" s="9" t="s">
        <v>104</v>
      </c>
      <c r="E35" s="9"/>
      <c r="F35" s="9"/>
      <c r="G35" s="9"/>
      <c r="H35" s="9"/>
      <c r="O35" s="9"/>
      <c r="P35" s="9"/>
      <c r="Q35" s="9"/>
      <c r="R35" s="9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F35" s="9">
        <v>105</v>
      </c>
      <c r="AG35" s="9">
        <v>7487</v>
      </c>
      <c r="AH35" s="9">
        <v>20.3</v>
      </c>
      <c r="AI35" s="9">
        <v>89.1</v>
      </c>
      <c r="AJ35" s="9">
        <v>16.2</v>
      </c>
      <c r="AK35" s="9">
        <v>96</v>
      </c>
      <c r="AL35" s="9">
        <v>37.1</v>
      </c>
      <c r="AM35" s="9">
        <v>17.5</v>
      </c>
      <c r="AN35" s="9">
        <v>53</v>
      </c>
      <c r="AO35" s="9">
        <v>11.6</v>
      </c>
      <c r="AP35" s="9">
        <v>84.1</v>
      </c>
      <c r="AQ35" s="9">
        <v>21</v>
      </c>
      <c r="AR35" s="9">
        <v>67.900000000000006</v>
      </c>
      <c r="AS35" s="9">
        <v>11.3</v>
      </c>
      <c r="AT35" s="9">
        <v>81.400000000000006</v>
      </c>
      <c r="AU35" s="9">
        <v>10.9</v>
      </c>
      <c r="AV35" s="9">
        <v>117</v>
      </c>
      <c r="AW35" s="9">
        <v>4.92</v>
      </c>
      <c r="AX35" s="9">
        <v>14</v>
      </c>
      <c r="AY35" s="9">
        <v>6.2</v>
      </c>
      <c r="AZ35" s="12">
        <v>134</v>
      </c>
      <c r="BA35" s="9">
        <v>261</v>
      </c>
      <c r="BB35" s="9">
        <v>706</v>
      </c>
      <c r="BC35" s="9">
        <v>3245</v>
      </c>
      <c r="BE35" s="9" t="s">
        <v>95</v>
      </c>
      <c r="BF35" s="9">
        <v>25.3</v>
      </c>
      <c r="BG35">
        <f t="shared" si="5"/>
        <v>85.654008438818579</v>
      </c>
      <c r="BH35">
        <f t="shared" si="6"/>
        <v>145.58823529411765</v>
      </c>
      <c r="BI35">
        <f t="shared" si="7"/>
        <v>170.52631578947367</v>
      </c>
      <c r="BJ35">
        <f t="shared" si="8"/>
        <v>205.56745182012847</v>
      </c>
      <c r="BK35">
        <f t="shared" si="9"/>
        <v>242.48366013071896</v>
      </c>
      <c r="BL35">
        <f t="shared" si="10"/>
        <v>301.72413793103448</v>
      </c>
      <c r="BM35">
        <f t="shared" si="11"/>
        <v>257.90754257907543</v>
      </c>
      <c r="BN35">
        <f t="shared" si="12"/>
        <v>310.1604278074866</v>
      </c>
      <c r="BO35">
        <f t="shared" si="13"/>
        <v>331.10236220472439</v>
      </c>
      <c r="BP35">
        <f t="shared" si="14"/>
        <v>371.02473498233218</v>
      </c>
      <c r="BQ35">
        <f t="shared" si="15"/>
        <v>410.27190332326285</v>
      </c>
      <c r="BR35">
        <f t="shared" si="16"/>
        <v>443.13725490196083</v>
      </c>
      <c r="BS35">
        <f t="shared" si="17"/>
        <v>478.8235294117647</v>
      </c>
      <c r="BT35">
        <f t="shared" si="18"/>
        <v>429.13385826771656</v>
      </c>
      <c r="BU35">
        <f t="shared" si="19"/>
        <v>0.50641550641550648</v>
      </c>
      <c r="BV35">
        <f t="shared" si="22"/>
        <v>2.830966869506423</v>
      </c>
      <c r="BX35">
        <f t="shared" si="23"/>
        <v>0.17888429280834348</v>
      </c>
      <c r="CJ35">
        <v>0</v>
      </c>
      <c r="CK35">
        <v>0</v>
      </c>
      <c r="CL35">
        <v>0</v>
      </c>
      <c r="CM35">
        <v>0</v>
      </c>
      <c r="CN35">
        <v>0</v>
      </c>
      <c r="CX35">
        <v>0</v>
      </c>
      <c r="DC35" s="24">
        <f t="shared" si="0"/>
        <v>0</v>
      </c>
      <c r="DD35" s="24">
        <f t="shared" si="1"/>
        <v>0</v>
      </c>
      <c r="DE35" s="24">
        <f t="shared" si="3"/>
        <v>0</v>
      </c>
      <c r="DG35" s="5">
        <f t="shared" si="2"/>
        <v>63.991452991452988</v>
      </c>
    </row>
    <row r="36" spans="1:111" ht="15" thickBot="1">
      <c r="A36" s="13"/>
      <c r="B36" s="7"/>
      <c r="C36" s="7"/>
      <c r="D36" s="9"/>
      <c r="E36" s="9"/>
      <c r="F36" s="9"/>
      <c r="G36" s="9"/>
      <c r="H36" s="9"/>
      <c r="O36" s="9"/>
      <c r="P36" s="9"/>
      <c r="Q36" s="9"/>
      <c r="R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12"/>
      <c r="BA36" s="9"/>
      <c r="BB36" s="9"/>
      <c r="BC36" s="9"/>
      <c r="BE36" s="9"/>
      <c r="BF36" s="9"/>
      <c r="CJ36">
        <v>0</v>
      </c>
      <c r="CK36">
        <v>0</v>
      </c>
      <c r="CL36">
        <v>0</v>
      </c>
      <c r="CM36">
        <v>0</v>
      </c>
      <c r="CN36">
        <v>0</v>
      </c>
      <c r="DC36" s="24">
        <f t="shared" si="0"/>
        <v>0</v>
      </c>
      <c r="DD36" s="24">
        <f t="shared" si="1"/>
        <v>0</v>
      </c>
      <c r="DE36" s="24">
        <f t="shared" si="3"/>
        <v>0</v>
      </c>
      <c r="DG36" s="5"/>
    </row>
    <row r="37" spans="1:111" ht="15" thickBot="1">
      <c r="A37" s="8"/>
      <c r="C37" s="7" t="s">
        <v>91</v>
      </c>
      <c r="D37" s="9" t="s">
        <v>104</v>
      </c>
      <c r="E37" s="9"/>
      <c r="F37" s="9"/>
      <c r="G37" s="15"/>
      <c r="H37" s="15"/>
      <c r="I37" s="15"/>
      <c r="J37" s="15"/>
      <c r="K37" s="15"/>
      <c r="L37" s="15"/>
      <c r="M37" s="15"/>
      <c r="N37" s="15"/>
      <c r="O37" s="15"/>
      <c r="Q37" s="15"/>
      <c r="T37" s="9"/>
      <c r="U37" s="9"/>
      <c r="X37" s="15"/>
      <c r="AD37" s="15"/>
      <c r="AF37" s="9">
        <v>93</v>
      </c>
      <c r="AG37" s="9">
        <v>2470</v>
      </c>
      <c r="AH37" s="9">
        <v>13.1</v>
      </c>
      <c r="AI37" s="9">
        <v>65</v>
      </c>
      <c r="AJ37" s="9">
        <v>11.7</v>
      </c>
      <c r="AK37" s="9">
        <v>65</v>
      </c>
      <c r="AL37" s="9">
        <v>17.600000000000001</v>
      </c>
      <c r="AM37" s="9">
        <v>5.7</v>
      </c>
      <c r="AN37" s="9">
        <v>13.9</v>
      </c>
      <c r="AO37" s="9">
        <v>1.92</v>
      </c>
      <c r="AP37" s="9">
        <v>9.5</v>
      </c>
      <c r="AQ37" s="9">
        <v>1.76</v>
      </c>
      <c r="AR37" s="9">
        <v>3.76</v>
      </c>
      <c r="AS37" s="9">
        <v>0.48</v>
      </c>
      <c r="AT37" s="9">
        <v>2.64</v>
      </c>
      <c r="AU37" s="9">
        <v>0.26</v>
      </c>
      <c r="AV37" s="9">
        <v>41.1</v>
      </c>
      <c r="AW37" s="9">
        <v>7.83</v>
      </c>
      <c r="AX37" s="9">
        <v>15.2</v>
      </c>
      <c r="AY37" s="9">
        <v>20.9</v>
      </c>
      <c r="AZ37" s="12">
        <v>229</v>
      </c>
      <c r="BA37" s="9">
        <v>799</v>
      </c>
      <c r="BB37" s="9">
        <v>37.299999999999997</v>
      </c>
      <c r="BC37" s="9">
        <v>3103</v>
      </c>
      <c r="BE37" s="9" t="s">
        <v>95</v>
      </c>
      <c r="BF37" s="9">
        <v>475</v>
      </c>
      <c r="BG37">
        <f t="shared" si="5"/>
        <v>55.274261603375528</v>
      </c>
      <c r="BH37">
        <f t="shared" si="6"/>
        <v>106.20915032679738</v>
      </c>
      <c r="BI37">
        <f t="shared" si="7"/>
        <v>123.1578947368421</v>
      </c>
      <c r="BJ37">
        <f t="shared" si="8"/>
        <v>139.18629550321199</v>
      </c>
      <c r="BK37">
        <f t="shared" si="9"/>
        <v>115.03267973856211</v>
      </c>
      <c r="BL37">
        <f t="shared" si="10"/>
        <v>98.275862068965509</v>
      </c>
      <c r="BM37">
        <f t="shared" si="11"/>
        <v>67.639902676399032</v>
      </c>
      <c r="BN37">
        <f t="shared" si="12"/>
        <v>51.336898395721917</v>
      </c>
      <c r="BO37">
        <f t="shared" si="13"/>
        <v>37.401574803149607</v>
      </c>
      <c r="BP37">
        <f t="shared" si="14"/>
        <v>31.095406360424029</v>
      </c>
      <c r="BQ37">
        <f t="shared" si="15"/>
        <v>22.719033232628398</v>
      </c>
      <c r="BR37">
        <f t="shared" si="16"/>
        <v>18.823529411764707</v>
      </c>
      <c r="BS37">
        <f t="shared" si="17"/>
        <v>15.529411764705882</v>
      </c>
      <c r="BT37">
        <f t="shared" si="18"/>
        <v>10.236220472440946</v>
      </c>
      <c r="BU37">
        <f t="shared" si="19"/>
        <v>7.4074074074074083</v>
      </c>
      <c r="BV37">
        <f t="shared" si="22"/>
        <v>2.0811255800029937</v>
      </c>
      <c r="BX37">
        <f t="shared" si="23"/>
        <v>3.5593274517325151</v>
      </c>
      <c r="CJ37">
        <v>0</v>
      </c>
      <c r="CK37">
        <v>0</v>
      </c>
      <c r="CL37">
        <v>0</v>
      </c>
      <c r="CM37">
        <v>0</v>
      </c>
      <c r="CN37">
        <v>0</v>
      </c>
      <c r="CX37">
        <v>0</v>
      </c>
      <c r="DC37" s="24">
        <f t="shared" si="0"/>
        <v>0</v>
      </c>
      <c r="DD37" s="24">
        <f t="shared" si="1"/>
        <v>0</v>
      </c>
      <c r="DE37" s="24">
        <f t="shared" si="3"/>
        <v>0</v>
      </c>
      <c r="DG37" s="5">
        <f t="shared" si="2"/>
        <v>60.097323600973233</v>
      </c>
    </row>
    <row r="38" spans="1:111" ht="15" thickBot="1">
      <c r="A38" s="9" t="s">
        <v>83</v>
      </c>
      <c r="B38" s="9"/>
      <c r="C38" s="9" t="s">
        <v>87</v>
      </c>
      <c r="D38" s="9" t="s">
        <v>105</v>
      </c>
      <c r="E38" s="9"/>
      <c r="F38" s="9"/>
      <c r="G38" s="15" t="s">
        <v>175</v>
      </c>
      <c r="H38" s="15" t="s">
        <v>176</v>
      </c>
      <c r="I38" s="15" t="s">
        <v>177</v>
      </c>
      <c r="J38" s="15" t="s">
        <v>178</v>
      </c>
      <c r="K38" s="15" t="s">
        <v>179</v>
      </c>
      <c r="L38" s="15"/>
      <c r="M38" s="15" t="s">
        <v>180</v>
      </c>
      <c r="N38" s="15" t="s">
        <v>181</v>
      </c>
      <c r="O38" s="15" t="s">
        <v>182</v>
      </c>
      <c r="Q38" s="15" t="s">
        <v>183</v>
      </c>
      <c r="T38" s="9"/>
      <c r="U38" s="9"/>
      <c r="X38" s="15" t="s">
        <v>184</v>
      </c>
      <c r="AD38" s="15" t="s">
        <v>185</v>
      </c>
      <c r="BG38">
        <f t="shared" si="5"/>
        <v>0</v>
      </c>
      <c r="BH38">
        <f t="shared" si="6"/>
        <v>0</v>
      </c>
      <c r="BI38">
        <f t="shared" si="7"/>
        <v>0</v>
      </c>
      <c r="BJ38">
        <f t="shared" si="8"/>
        <v>0</v>
      </c>
      <c r="BK38">
        <f t="shared" si="9"/>
        <v>0</v>
      </c>
      <c r="BL38">
        <f t="shared" si="10"/>
        <v>0</v>
      </c>
      <c r="BM38">
        <f t="shared" si="11"/>
        <v>0</v>
      </c>
      <c r="BN38">
        <f t="shared" si="12"/>
        <v>0</v>
      </c>
      <c r="BO38">
        <f t="shared" si="13"/>
        <v>0</v>
      </c>
      <c r="BP38">
        <f t="shared" si="14"/>
        <v>0</v>
      </c>
      <c r="BQ38">
        <f t="shared" si="15"/>
        <v>0</v>
      </c>
      <c r="BR38">
        <f t="shared" si="16"/>
        <v>0</v>
      </c>
      <c r="BS38">
        <f t="shared" si="17"/>
        <v>0</v>
      </c>
      <c r="BT38">
        <f t="shared" si="18"/>
        <v>0</v>
      </c>
      <c r="BU38" t="e">
        <f t="shared" ref="BU38:BU48" si="24">BK38/BS38</f>
        <v>#DIV/0!</v>
      </c>
      <c r="BV38" t="e">
        <f t="shared" si="22"/>
        <v>#DIV/0!</v>
      </c>
      <c r="BX38" t="e">
        <f t="shared" si="23"/>
        <v>#DIV/0!</v>
      </c>
      <c r="BZ38" t="s">
        <v>173</v>
      </c>
      <c r="CA38" t="s">
        <v>173</v>
      </c>
      <c r="CB38" t="s">
        <v>173</v>
      </c>
      <c r="CC38" t="s">
        <v>173</v>
      </c>
      <c r="CD38" t="s">
        <v>173</v>
      </c>
      <c r="CE38" t="s">
        <v>173</v>
      </c>
      <c r="CF38">
        <v>1.4E-3</v>
      </c>
      <c r="CG38" s="31">
        <v>0</v>
      </c>
      <c r="CH38" t="s">
        <v>173</v>
      </c>
      <c r="CI38">
        <v>1.95E-2</v>
      </c>
      <c r="CJ38">
        <v>6.1600000000000002E-2</v>
      </c>
      <c r="CK38">
        <v>0.15939999999999999</v>
      </c>
      <c r="CL38">
        <v>7.3000000000000001E-3</v>
      </c>
      <c r="CM38">
        <v>8.2299999999999998E-2</v>
      </c>
      <c r="CN38">
        <v>0</v>
      </c>
      <c r="CO38" t="s">
        <v>173</v>
      </c>
      <c r="CP38" t="s">
        <v>173</v>
      </c>
      <c r="CQ38" t="s">
        <v>173</v>
      </c>
      <c r="CR38" t="s">
        <v>173</v>
      </c>
      <c r="CS38" t="s">
        <v>173</v>
      </c>
      <c r="CT38" t="s">
        <v>173</v>
      </c>
      <c r="CU38" t="s">
        <v>173</v>
      </c>
      <c r="CV38" t="s">
        <v>173</v>
      </c>
      <c r="CW38" t="s">
        <v>173</v>
      </c>
      <c r="CX38">
        <v>0</v>
      </c>
      <c r="CY38">
        <v>0.6522</v>
      </c>
      <c r="CZ38" t="s">
        <v>173</v>
      </c>
      <c r="DA38" t="s">
        <v>173</v>
      </c>
      <c r="DB38" t="s">
        <v>173</v>
      </c>
      <c r="DC38" s="24">
        <f t="shared" si="0"/>
        <v>8.1100000000000005E-2</v>
      </c>
      <c r="DD38" s="24">
        <f t="shared" si="1"/>
        <v>1.4E-3</v>
      </c>
      <c r="DE38" s="24">
        <f t="shared" si="3"/>
        <v>0.24169999999999997</v>
      </c>
      <c r="DG38" s="5" t="e">
        <f t="shared" si="2"/>
        <v>#DIV/0!</v>
      </c>
    </row>
    <row r="39" spans="1:111" ht="15" customHeight="1" thickBot="1">
      <c r="A39" s="9" t="s">
        <v>82</v>
      </c>
      <c r="B39" s="9"/>
      <c r="C39" s="9"/>
      <c r="D39" s="9" t="s">
        <v>105</v>
      </c>
      <c r="G39" s="15" t="s">
        <v>186</v>
      </c>
      <c r="H39" s="15" t="s">
        <v>187</v>
      </c>
      <c r="I39" s="15" t="s">
        <v>188</v>
      </c>
      <c r="J39" s="15" t="s">
        <v>189</v>
      </c>
      <c r="K39" s="15" t="s">
        <v>190</v>
      </c>
      <c r="L39" s="15"/>
      <c r="M39" s="15" t="s">
        <v>191</v>
      </c>
      <c r="N39" s="15" t="s">
        <v>192</v>
      </c>
      <c r="O39" s="15" t="s">
        <v>193</v>
      </c>
      <c r="Q39" s="15" t="s">
        <v>194</v>
      </c>
      <c r="X39" s="15" t="s">
        <v>195</v>
      </c>
      <c r="AD39" s="15" t="s">
        <v>196</v>
      </c>
      <c r="BG39">
        <f t="shared" si="5"/>
        <v>0</v>
      </c>
      <c r="BH39">
        <f t="shared" si="6"/>
        <v>0</v>
      </c>
      <c r="BI39">
        <f t="shared" si="7"/>
        <v>0</v>
      </c>
      <c r="BJ39">
        <f t="shared" si="8"/>
        <v>0</v>
      </c>
      <c r="BK39">
        <f t="shared" si="9"/>
        <v>0</v>
      </c>
      <c r="BL39">
        <f t="shared" si="10"/>
        <v>0</v>
      </c>
      <c r="BM39">
        <f t="shared" si="11"/>
        <v>0</v>
      </c>
      <c r="BN39">
        <f t="shared" si="12"/>
        <v>0</v>
      </c>
      <c r="BO39">
        <f t="shared" si="13"/>
        <v>0</v>
      </c>
      <c r="BP39">
        <f t="shared" si="14"/>
        <v>0</v>
      </c>
      <c r="BQ39">
        <f t="shared" si="15"/>
        <v>0</v>
      </c>
      <c r="BR39">
        <f t="shared" si="16"/>
        <v>0</v>
      </c>
      <c r="BS39">
        <f t="shared" si="17"/>
        <v>0</v>
      </c>
      <c r="BT39">
        <f t="shared" si="18"/>
        <v>0</v>
      </c>
      <c r="BU39" t="e">
        <f t="shared" si="24"/>
        <v>#DIV/0!</v>
      </c>
      <c r="BV39" t="e">
        <f t="shared" si="22"/>
        <v>#DIV/0!</v>
      </c>
      <c r="BX39" t="e">
        <f t="shared" si="23"/>
        <v>#DIV/0!</v>
      </c>
      <c r="BZ39" t="s">
        <v>173</v>
      </c>
      <c r="CA39" t="s">
        <v>173</v>
      </c>
      <c r="CB39" t="s">
        <v>173</v>
      </c>
      <c r="CC39" t="s">
        <v>173</v>
      </c>
      <c r="CD39" t="s">
        <v>173</v>
      </c>
      <c r="CE39" t="s">
        <v>173</v>
      </c>
      <c r="CF39">
        <v>1.6000000000000001E-3</v>
      </c>
      <c r="CG39" s="31">
        <v>0</v>
      </c>
      <c r="CH39" t="s">
        <v>173</v>
      </c>
      <c r="CI39">
        <v>4.9599999999999998E-2</v>
      </c>
      <c r="CJ39">
        <v>5.0799999999999998E-2</v>
      </c>
      <c r="CK39">
        <v>0.191</v>
      </c>
      <c r="CL39">
        <v>9.7999999999999997E-3</v>
      </c>
      <c r="CM39">
        <v>7.9299999999999995E-2</v>
      </c>
      <c r="CN39">
        <v>0</v>
      </c>
      <c r="CO39" t="s">
        <v>173</v>
      </c>
      <c r="CP39" t="s">
        <v>173</v>
      </c>
      <c r="CQ39" t="s">
        <v>173</v>
      </c>
      <c r="CR39" t="s">
        <v>173</v>
      </c>
      <c r="CS39" t="s">
        <v>173</v>
      </c>
      <c r="CT39" t="s">
        <v>173</v>
      </c>
      <c r="CU39" t="s">
        <v>173</v>
      </c>
      <c r="CV39" t="s">
        <v>173</v>
      </c>
      <c r="CW39" t="s">
        <v>173</v>
      </c>
      <c r="CX39">
        <v>0</v>
      </c>
      <c r="CY39">
        <v>0.6028</v>
      </c>
      <c r="CZ39">
        <v>1.35E-2</v>
      </c>
      <c r="DA39" t="s">
        <v>173</v>
      </c>
      <c r="DB39">
        <v>1.5E-3</v>
      </c>
      <c r="DC39" s="24">
        <f t="shared" si="0"/>
        <v>0.10039999999999999</v>
      </c>
      <c r="DD39" s="24">
        <f t="shared" si="1"/>
        <v>1.6000000000000001E-3</v>
      </c>
      <c r="DE39" s="24">
        <f t="shared" si="3"/>
        <v>0.27029999999999998</v>
      </c>
      <c r="DG39" s="5" t="e">
        <f t="shared" si="2"/>
        <v>#DIV/0!</v>
      </c>
    </row>
    <row r="40" spans="1:111" ht="15" thickBot="1">
      <c r="A40" s="9" t="s">
        <v>82</v>
      </c>
      <c r="B40" s="9"/>
      <c r="C40" s="9"/>
      <c r="D40" s="9" t="s">
        <v>105</v>
      </c>
      <c r="F40" s="16"/>
      <c r="G40" s="15" t="s">
        <v>197</v>
      </c>
      <c r="H40" s="15" t="s">
        <v>198</v>
      </c>
      <c r="I40" s="15" t="s">
        <v>199</v>
      </c>
      <c r="J40" s="15" t="s">
        <v>200</v>
      </c>
      <c r="K40" s="15" t="s">
        <v>201</v>
      </c>
      <c r="L40" s="15"/>
      <c r="M40" s="15" t="s">
        <v>180</v>
      </c>
      <c r="N40" s="15" t="s">
        <v>202</v>
      </c>
      <c r="O40" s="15" t="s">
        <v>203</v>
      </c>
      <c r="Q40" s="15" t="s">
        <v>204</v>
      </c>
      <c r="S40" s="16"/>
      <c r="T40" s="9"/>
      <c r="U40" s="9"/>
      <c r="X40" s="15" t="s">
        <v>205</v>
      </c>
      <c r="AD40" s="15" t="s">
        <v>206</v>
      </c>
      <c r="BG40">
        <f t="shared" si="5"/>
        <v>0</v>
      </c>
      <c r="BH40">
        <f t="shared" si="6"/>
        <v>0</v>
      </c>
      <c r="BI40">
        <f t="shared" si="7"/>
        <v>0</v>
      </c>
      <c r="BJ40">
        <f t="shared" si="8"/>
        <v>0</v>
      </c>
      <c r="BK40">
        <f t="shared" si="9"/>
        <v>0</v>
      </c>
      <c r="BL40">
        <f t="shared" si="10"/>
        <v>0</v>
      </c>
      <c r="BM40">
        <f t="shared" si="11"/>
        <v>0</v>
      </c>
      <c r="BN40">
        <f t="shared" si="12"/>
        <v>0</v>
      </c>
      <c r="BO40">
        <f t="shared" si="13"/>
        <v>0</v>
      </c>
      <c r="BP40">
        <f t="shared" si="14"/>
        <v>0</v>
      </c>
      <c r="BQ40">
        <f t="shared" si="15"/>
        <v>0</v>
      </c>
      <c r="BR40">
        <f t="shared" si="16"/>
        <v>0</v>
      </c>
      <c r="BS40">
        <f t="shared" si="17"/>
        <v>0</v>
      </c>
      <c r="BT40">
        <f t="shared" si="18"/>
        <v>0</v>
      </c>
      <c r="BU40" t="e">
        <f t="shared" si="24"/>
        <v>#DIV/0!</v>
      </c>
      <c r="BV40" t="e">
        <f t="shared" si="22"/>
        <v>#DIV/0!</v>
      </c>
      <c r="BX40" t="e">
        <f t="shared" si="23"/>
        <v>#DIV/0!</v>
      </c>
      <c r="BZ40" t="s">
        <v>173</v>
      </c>
      <c r="CA40" t="s">
        <v>173</v>
      </c>
      <c r="CB40" t="s">
        <v>173</v>
      </c>
      <c r="CC40" t="s">
        <v>173</v>
      </c>
      <c r="CD40" t="s">
        <v>173</v>
      </c>
      <c r="CE40" t="s">
        <v>173</v>
      </c>
      <c r="CF40">
        <v>2E-3</v>
      </c>
      <c r="CG40" s="31">
        <v>0</v>
      </c>
      <c r="CH40" t="s">
        <v>173</v>
      </c>
      <c r="CI40">
        <v>6.7599999999999993E-2</v>
      </c>
      <c r="CJ40">
        <v>5.3400000000000003E-2</v>
      </c>
      <c r="CK40">
        <v>0.1188</v>
      </c>
      <c r="CL40">
        <v>1.55E-2</v>
      </c>
      <c r="CM40">
        <v>8.2699999999999996E-2</v>
      </c>
      <c r="CN40">
        <v>0</v>
      </c>
      <c r="CO40" t="s">
        <v>173</v>
      </c>
      <c r="CP40" t="s">
        <v>173</v>
      </c>
      <c r="CQ40" t="s">
        <v>173</v>
      </c>
      <c r="CR40" t="s">
        <v>173</v>
      </c>
      <c r="CS40" t="s">
        <v>173</v>
      </c>
      <c r="CT40" t="s">
        <v>173</v>
      </c>
      <c r="CU40" t="s">
        <v>173</v>
      </c>
      <c r="CV40" t="s">
        <v>173</v>
      </c>
      <c r="CW40" t="s">
        <v>173</v>
      </c>
      <c r="CX40">
        <v>0</v>
      </c>
      <c r="CY40">
        <v>0.63029999999999997</v>
      </c>
      <c r="CZ40" t="s">
        <v>173</v>
      </c>
      <c r="DA40" t="s">
        <v>173</v>
      </c>
      <c r="DB40" t="s">
        <v>173</v>
      </c>
      <c r="DC40" s="24">
        <f t="shared" si="0"/>
        <v>0.121</v>
      </c>
      <c r="DD40" s="24">
        <f t="shared" si="1"/>
        <v>2E-3</v>
      </c>
      <c r="DE40" s="24">
        <f t="shared" si="3"/>
        <v>0.20150000000000001</v>
      </c>
      <c r="DG40" s="5" t="e">
        <f t="shared" si="2"/>
        <v>#DIV/0!</v>
      </c>
    </row>
    <row r="41" spans="1:111" ht="15" thickBot="1">
      <c r="A41" s="9" t="s">
        <v>84</v>
      </c>
      <c r="B41" s="9"/>
      <c r="C41" s="9" t="s">
        <v>56</v>
      </c>
      <c r="D41" s="9" t="s">
        <v>105</v>
      </c>
      <c r="F41" s="14"/>
      <c r="G41" s="15" t="s">
        <v>207</v>
      </c>
      <c r="H41" s="15" t="s">
        <v>208</v>
      </c>
      <c r="I41" s="15" t="s">
        <v>209</v>
      </c>
      <c r="J41" s="15" t="s">
        <v>210</v>
      </c>
      <c r="K41" s="15" t="s">
        <v>211</v>
      </c>
      <c r="L41" s="15"/>
      <c r="M41" s="15" t="s">
        <v>212</v>
      </c>
      <c r="N41" s="15" t="s">
        <v>192</v>
      </c>
      <c r="O41" s="15" t="s">
        <v>213</v>
      </c>
      <c r="Q41" s="15" t="s">
        <v>194</v>
      </c>
      <c r="S41" s="14"/>
      <c r="T41" s="9"/>
      <c r="U41" s="9"/>
      <c r="X41" s="15" t="s">
        <v>214</v>
      </c>
      <c r="AD41" s="15" t="s">
        <v>215</v>
      </c>
      <c r="BG41">
        <f t="shared" si="5"/>
        <v>0</v>
      </c>
      <c r="BH41">
        <f t="shared" si="6"/>
        <v>0</v>
      </c>
      <c r="BI41">
        <f t="shared" si="7"/>
        <v>0</v>
      </c>
      <c r="BJ41">
        <f t="shared" si="8"/>
        <v>0</v>
      </c>
      <c r="BK41">
        <f t="shared" si="9"/>
        <v>0</v>
      </c>
      <c r="BL41">
        <f t="shared" si="10"/>
        <v>0</v>
      </c>
      <c r="BM41">
        <f t="shared" si="11"/>
        <v>0</v>
      </c>
      <c r="BN41">
        <f t="shared" si="12"/>
        <v>0</v>
      </c>
      <c r="BO41">
        <f t="shared" si="13"/>
        <v>0</v>
      </c>
      <c r="BP41">
        <f t="shared" si="14"/>
        <v>0</v>
      </c>
      <c r="BQ41">
        <f t="shared" si="15"/>
        <v>0</v>
      </c>
      <c r="BR41">
        <f t="shared" si="16"/>
        <v>0</v>
      </c>
      <c r="BS41">
        <f t="shared" si="17"/>
        <v>0</v>
      </c>
      <c r="BT41">
        <f t="shared" si="18"/>
        <v>0</v>
      </c>
      <c r="BU41" t="e">
        <f t="shared" si="24"/>
        <v>#DIV/0!</v>
      </c>
      <c r="BV41" t="e">
        <f t="shared" si="22"/>
        <v>#DIV/0!</v>
      </c>
      <c r="BX41" t="e">
        <f t="shared" si="23"/>
        <v>#DIV/0!</v>
      </c>
      <c r="BZ41" t="s">
        <v>173</v>
      </c>
      <c r="CA41" t="s">
        <v>173</v>
      </c>
      <c r="CB41" t="s">
        <v>173</v>
      </c>
      <c r="CC41" t="s">
        <v>173</v>
      </c>
      <c r="CD41" t="s">
        <v>173</v>
      </c>
      <c r="CE41" t="s">
        <v>173</v>
      </c>
      <c r="CF41">
        <v>4.1000000000000003E-3</v>
      </c>
      <c r="CG41" s="31">
        <v>0</v>
      </c>
      <c r="CH41" t="s">
        <v>173</v>
      </c>
      <c r="CI41">
        <v>1.8700000000000001E-2</v>
      </c>
      <c r="CJ41">
        <v>4.7699999999999999E-2</v>
      </c>
      <c r="CK41">
        <v>0.16039999999999999</v>
      </c>
      <c r="CL41">
        <v>9.7000000000000003E-3</v>
      </c>
      <c r="CM41">
        <v>7.6200000000000004E-2</v>
      </c>
      <c r="CN41">
        <v>0</v>
      </c>
      <c r="CO41" t="s">
        <v>173</v>
      </c>
      <c r="CP41" t="s">
        <v>173</v>
      </c>
      <c r="CQ41" t="s">
        <v>173</v>
      </c>
      <c r="CR41" t="s">
        <v>173</v>
      </c>
      <c r="CS41" t="s">
        <v>173</v>
      </c>
      <c r="CT41" t="s">
        <v>173</v>
      </c>
      <c r="CU41" t="s">
        <v>173</v>
      </c>
      <c r="CV41" t="s">
        <v>173</v>
      </c>
      <c r="CW41" t="s">
        <v>173</v>
      </c>
      <c r="CX41">
        <v>0</v>
      </c>
      <c r="CY41">
        <v>0.6694</v>
      </c>
      <c r="CZ41" t="s">
        <v>173</v>
      </c>
      <c r="DA41" t="s">
        <v>173</v>
      </c>
      <c r="DB41" t="s">
        <v>173</v>
      </c>
      <c r="DC41" s="24">
        <f t="shared" si="0"/>
        <v>6.6400000000000001E-2</v>
      </c>
      <c r="DD41" s="24">
        <f t="shared" si="1"/>
        <v>4.1000000000000003E-3</v>
      </c>
      <c r="DE41" s="24">
        <f t="shared" si="3"/>
        <v>0.23659999999999998</v>
      </c>
      <c r="DG41" s="5" t="e">
        <f t="shared" si="2"/>
        <v>#DIV/0!</v>
      </c>
    </row>
    <row r="42" spans="1:111" ht="15" customHeight="1" thickBot="1">
      <c r="A42" s="9" t="s">
        <v>101</v>
      </c>
      <c r="B42" s="9"/>
      <c r="C42" s="9"/>
      <c r="D42" s="9" t="s">
        <v>105</v>
      </c>
      <c r="F42" s="15"/>
      <c r="G42" s="15" t="s">
        <v>216</v>
      </c>
      <c r="H42" s="15" t="s">
        <v>217</v>
      </c>
      <c r="I42" s="15" t="s">
        <v>218</v>
      </c>
      <c r="J42" s="15" t="s">
        <v>219</v>
      </c>
      <c r="K42" s="15" t="s">
        <v>220</v>
      </c>
      <c r="L42" s="15"/>
      <c r="M42" s="15" t="s">
        <v>221</v>
      </c>
      <c r="N42" s="15" t="s">
        <v>222</v>
      </c>
      <c r="O42" s="15" t="s">
        <v>223</v>
      </c>
      <c r="Q42" s="15" t="s">
        <v>224</v>
      </c>
      <c r="S42" s="15"/>
      <c r="T42" s="9"/>
      <c r="U42" s="9"/>
      <c r="X42" s="15" t="s">
        <v>225</v>
      </c>
      <c r="AD42" s="15" t="s">
        <v>226</v>
      </c>
      <c r="BG42">
        <f t="shared" si="5"/>
        <v>0</v>
      </c>
      <c r="BH42">
        <f t="shared" si="6"/>
        <v>0</v>
      </c>
      <c r="BI42">
        <f t="shared" si="7"/>
        <v>0</v>
      </c>
      <c r="BJ42">
        <f t="shared" si="8"/>
        <v>0</v>
      </c>
      <c r="BK42">
        <f t="shared" si="9"/>
        <v>0</v>
      </c>
      <c r="BL42">
        <f t="shared" si="10"/>
        <v>0</v>
      </c>
      <c r="BM42">
        <f t="shared" si="11"/>
        <v>0</v>
      </c>
      <c r="BN42">
        <f t="shared" si="12"/>
        <v>0</v>
      </c>
      <c r="BO42">
        <f t="shared" si="13"/>
        <v>0</v>
      </c>
      <c r="BP42">
        <f t="shared" si="14"/>
        <v>0</v>
      </c>
      <c r="BQ42">
        <f t="shared" si="15"/>
        <v>0</v>
      </c>
      <c r="BR42">
        <f t="shared" si="16"/>
        <v>0</v>
      </c>
      <c r="BS42">
        <f t="shared" si="17"/>
        <v>0</v>
      </c>
      <c r="BT42">
        <f t="shared" si="18"/>
        <v>0</v>
      </c>
      <c r="BU42" t="e">
        <f t="shared" si="24"/>
        <v>#DIV/0!</v>
      </c>
      <c r="BV42" t="e">
        <f t="shared" si="22"/>
        <v>#DIV/0!</v>
      </c>
      <c r="BX42" t="e">
        <f t="shared" si="23"/>
        <v>#DIV/0!</v>
      </c>
      <c r="BZ42" t="s">
        <v>173</v>
      </c>
      <c r="CA42" t="s">
        <v>173</v>
      </c>
      <c r="CB42" t="s">
        <v>173</v>
      </c>
      <c r="CC42" t="s">
        <v>173</v>
      </c>
      <c r="CD42" t="s">
        <v>173</v>
      </c>
      <c r="CE42" t="s">
        <v>173</v>
      </c>
      <c r="CF42">
        <v>4.3E-3</v>
      </c>
      <c r="CG42" s="31">
        <v>0</v>
      </c>
      <c r="CH42" t="s">
        <v>173</v>
      </c>
      <c r="CI42">
        <v>5.2200000000000003E-2</v>
      </c>
      <c r="CJ42">
        <v>4.58E-2</v>
      </c>
      <c r="CK42">
        <v>0.14000000000000001</v>
      </c>
      <c r="CL42">
        <v>1.06E-2</v>
      </c>
      <c r="CM42">
        <v>6.6699999999999995E-2</v>
      </c>
      <c r="CN42">
        <v>0</v>
      </c>
      <c r="CO42" t="s">
        <v>173</v>
      </c>
      <c r="CP42" t="s">
        <v>173</v>
      </c>
      <c r="CQ42" t="s">
        <v>173</v>
      </c>
      <c r="CR42" t="s">
        <v>173</v>
      </c>
      <c r="CS42" t="s">
        <v>173</v>
      </c>
      <c r="CT42" t="s">
        <v>173</v>
      </c>
      <c r="CU42" t="s">
        <v>173</v>
      </c>
      <c r="CV42" t="s">
        <v>173</v>
      </c>
      <c r="CW42" t="s">
        <v>173</v>
      </c>
      <c r="CX42">
        <v>0</v>
      </c>
      <c r="CY42">
        <v>0.66249999999999998</v>
      </c>
      <c r="CZ42">
        <v>1.43E-2</v>
      </c>
      <c r="DA42" t="s">
        <v>173</v>
      </c>
      <c r="DB42">
        <v>3.5000000000000001E-3</v>
      </c>
      <c r="DC42" s="24">
        <f t="shared" si="0"/>
        <v>9.8000000000000004E-2</v>
      </c>
      <c r="DD42" s="24">
        <f t="shared" si="1"/>
        <v>4.3E-3</v>
      </c>
      <c r="DE42" s="24">
        <f t="shared" si="3"/>
        <v>0.20669999999999999</v>
      </c>
      <c r="DG42" s="5" t="e">
        <f t="shared" si="2"/>
        <v>#DIV/0!</v>
      </c>
    </row>
    <row r="43" spans="1:111" ht="15" thickBot="1">
      <c r="A43" s="9" t="s">
        <v>85</v>
      </c>
      <c r="B43" s="9"/>
      <c r="C43" s="9"/>
      <c r="D43" s="9" t="s">
        <v>105</v>
      </c>
      <c r="F43" s="15"/>
      <c r="G43" s="15" t="s">
        <v>227</v>
      </c>
      <c r="H43" s="15" t="s">
        <v>228</v>
      </c>
      <c r="I43" s="15" t="s">
        <v>229</v>
      </c>
      <c r="J43" s="15" t="s">
        <v>230</v>
      </c>
      <c r="K43" s="15" t="s">
        <v>231</v>
      </c>
      <c r="L43" s="15"/>
      <c r="M43" s="15" t="s">
        <v>232</v>
      </c>
      <c r="N43" s="15" t="s">
        <v>233</v>
      </c>
      <c r="O43" s="15" t="s">
        <v>234</v>
      </c>
      <c r="Q43" s="15" t="s">
        <v>235</v>
      </c>
      <c r="S43" s="15"/>
      <c r="T43" s="9"/>
      <c r="U43" s="9"/>
      <c r="X43" s="15" t="s">
        <v>236</v>
      </c>
      <c r="AD43" s="15" t="s">
        <v>206</v>
      </c>
      <c r="BG43">
        <f t="shared" si="5"/>
        <v>0</v>
      </c>
      <c r="BH43">
        <f t="shared" si="6"/>
        <v>0</v>
      </c>
      <c r="BI43">
        <f t="shared" si="7"/>
        <v>0</v>
      </c>
      <c r="BJ43">
        <f t="shared" si="8"/>
        <v>0</v>
      </c>
      <c r="BK43">
        <f t="shared" si="9"/>
        <v>0</v>
      </c>
      <c r="BL43">
        <f t="shared" si="10"/>
        <v>0</v>
      </c>
      <c r="BM43">
        <f t="shared" si="11"/>
        <v>0</v>
      </c>
      <c r="BN43">
        <f t="shared" si="12"/>
        <v>0</v>
      </c>
      <c r="BO43">
        <f t="shared" si="13"/>
        <v>0</v>
      </c>
      <c r="BP43">
        <f t="shared" si="14"/>
        <v>0</v>
      </c>
      <c r="BQ43">
        <f t="shared" si="15"/>
        <v>0</v>
      </c>
      <c r="BR43">
        <f t="shared" si="16"/>
        <v>0</v>
      </c>
      <c r="BS43">
        <f t="shared" si="17"/>
        <v>0</v>
      </c>
      <c r="BT43">
        <f t="shared" si="18"/>
        <v>0</v>
      </c>
      <c r="BU43" t="e">
        <f t="shared" si="24"/>
        <v>#DIV/0!</v>
      </c>
      <c r="BV43" t="e">
        <f t="shared" si="22"/>
        <v>#DIV/0!</v>
      </c>
      <c r="BX43" t="e">
        <f t="shared" si="23"/>
        <v>#DIV/0!</v>
      </c>
      <c r="BZ43" t="s">
        <v>173</v>
      </c>
      <c r="CA43" t="s">
        <v>173</v>
      </c>
      <c r="CB43" t="s">
        <v>173</v>
      </c>
      <c r="CC43" t="s">
        <v>173</v>
      </c>
      <c r="CD43" t="s">
        <v>173</v>
      </c>
      <c r="CE43" t="s">
        <v>173</v>
      </c>
      <c r="CF43">
        <v>8.0000000000000004E-4</v>
      </c>
      <c r="CG43" s="31">
        <v>0</v>
      </c>
      <c r="CH43" t="s">
        <v>173</v>
      </c>
      <c r="CI43">
        <v>6.3100000000000003E-2</v>
      </c>
      <c r="CJ43">
        <v>9.1200000000000003E-2</v>
      </c>
      <c r="CK43">
        <v>0.16059999999999999</v>
      </c>
      <c r="CL43">
        <v>4.8999999999999998E-3</v>
      </c>
      <c r="CM43">
        <v>0.15809999999999999</v>
      </c>
      <c r="CN43">
        <v>0</v>
      </c>
      <c r="CO43" t="s">
        <v>173</v>
      </c>
      <c r="CP43" t="s">
        <v>173</v>
      </c>
      <c r="CQ43" t="s">
        <v>173</v>
      </c>
      <c r="CR43" t="s">
        <v>173</v>
      </c>
      <c r="CS43" t="s">
        <v>173</v>
      </c>
      <c r="CT43" t="s">
        <v>173</v>
      </c>
      <c r="CU43" t="s">
        <v>173</v>
      </c>
      <c r="CV43" t="s">
        <v>173</v>
      </c>
      <c r="CW43" t="s">
        <v>173</v>
      </c>
      <c r="CX43">
        <v>0</v>
      </c>
      <c r="CY43">
        <v>0.50770000000000004</v>
      </c>
      <c r="CZ43" t="s">
        <v>173</v>
      </c>
      <c r="DA43" t="s">
        <v>173</v>
      </c>
      <c r="DB43" t="s">
        <v>173</v>
      </c>
      <c r="DC43" s="24">
        <f t="shared" si="0"/>
        <v>0.15429999999999999</v>
      </c>
      <c r="DD43" s="24">
        <f t="shared" si="1"/>
        <v>8.0000000000000004E-4</v>
      </c>
      <c r="DE43" s="24">
        <f t="shared" si="3"/>
        <v>0.31869999999999998</v>
      </c>
      <c r="DG43" s="5" t="e">
        <f t="shared" si="2"/>
        <v>#DIV/0!</v>
      </c>
    </row>
    <row r="44" spans="1:111" ht="15" thickBot="1">
      <c r="A44" s="9" t="s">
        <v>86</v>
      </c>
      <c r="B44" s="9"/>
      <c r="C44" s="9" t="s">
        <v>98</v>
      </c>
      <c r="D44" s="9" t="s">
        <v>105</v>
      </c>
      <c r="F44" s="15"/>
      <c r="G44" s="15" t="s">
        <v>237</v>
      </c>
      <c r="H44" s="15" t="s">
        <v>238</v>
      </c>
      <c r="I44" s="15" t="s">
        <v>239</v>
      </c>
      <c r="J44" s="15" t="s">
        <v>240</v>
      </c>
      <c r="K44" s="15" t="s">
        <v>241</v>
      </c>
      <c r="L44" s="15"/>
      <c r="M44" s="15" t="s">
        <v>242</v>
      </c>
      <c r="N44" s="15" t="s">
        <v>243</v>
      </c>
      <c r="O44" s="15" t="s">
        <v>244</v>
      </c>
      <c r="Q44" s="15" t="s">
        <v>245</v>
      </c>
      <c r="S44" s="15"/>
      <c r="T44" s="9"/>
      <c r="U44" s="9"/>
      <c r="X44" s="15" t="s">
        <v>246</v>
      </c>
      <c r="AD44" s="15" t="s">
        <v>185</v>
      </c>
      <c r="BG44">
        <f t="shared" si="5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>
        <f t="shared" si="9"/>
        <v>0</v>
      </c>
      <c r="BL44">
        <f t="shared" si="10"/>
        <v>0</v>
      </c>
      <c r="BM44">
        <f t="shared" si="11"/>
        <v>0</v>
      </c>
      <c r="BN44">
        <f t="shared" si="12"/>
        <v>0</v>
      </c>
      <c r="BO44">
        <f t="shared" si="13"/>
        <v>0</v>
      </c>
      <c r="BP44">
        <f t="shared" si="14"/>
        <v>0</v>
      </c>
      <c r="BQ44">
        <f t="shared" si="15"/>
        <v>0</v>
      </c>
      <c r="BR44">
        <f t="shared" si="16"/>
        <v>0</v>
      </c>
      <c r="BS44">
        <f t="shared" si="17"/>
        <v>0</v>
      </c>
      <c r="BT44">
        <f t="shared" si="18"/>
        <v>0</v>
      </c>
      <c r="BU44" t="e">
        <f t="shared" si="24"/>
        <v>#DIV/0!</v>
      </c>
      <c r="BV44" t="e">
        <f t="shared" si="22"/>
        <v>#DIV/0!</v>
      </c>
      <c r="BX44" t="e">
        <f t="shared" si="23"/>
        <v>#DIV/0!</v>
      </c>
      <c r="BZ44" t="s">
        <v>173</v>
      </c>
      <c r="CA44" t="s">
        <v>173</v>
      </c>
      <c r="CB44" t="s">
        <v>173</v>
      </c>
      <c r="CC44" t="s">
        <v>173</v>
      </c>
      <c r="CD44" t="s">
        <v>173</v>
      </c>
      <c r="CE44" t="s">
        <v>173</v>
      </c>
      <c r="CF44">
        <v>2.0799999999999999E-2</v>
      </c>
      <c r="CG44" s="31">
        <v>0</v>
      </c>
      <c r="CH44" t="s">
        <v>173</v>
      </c>
      <c r="CI44">
        <v>0.35859999999999997</v>
      </c>
      <c r="CJ44">
        <v>6.2300000000000001E-2</v>
      </c>
      <c r="CK44">
        <v>0.19020000000000001</v>
      </c>
      <c r="CL44">
        <v>1.24E-2</v>
      </c>
      <c r="CM44">
        <v>0.15479999999999999</v>
      </c>
      <c r="CN44">
        <v>0</v>
      </c>
      <c r="CO44" t="s">
        <v>173</v>
      </c>
      <c r="CP44" t="s">
        <v>173</v>
      </c>
      <c r="CQ44" t="s">
        <v>173</v>
      </c>
      <c r="CR44" t="s">
        <v>173</v>
      </c>
      <c r="CS44" t="s">
        <v>173</v>
      </c>
      <c r="CT44" t="s">
        <v>173</v>
      </c>
      <c r="CU44" t="s">
        <v>173</v>
      </c>
      <c r="CV44" t="s">
        <v>173</v>
      </c>
      <c r="CW44" t="s">
        <v>173</v>
      </c>
      <c r="CX44">
        <v>0</v>
      </c>
      <c r="CY44">
        <v>0.1822</v>
      </c>
      <c r="CZ44">
        <v>8.3999999999999995E-3</v>
      </c>
      <c r="DA44" t="s">
        <v>173</v>
      </c>
      <c r="DB44">
        <v>1.01E-2</v>
      </c>
      <c r="DC44" s="24">
        <f t="shared" si="0"/>
        <v>0.4209</v>
      </c>
      <c r="DD44" s="24">
        <f t="shared" si="1"/>
        <v>2.0799999999999999E-2</v>
      </c>
      <c r="DE44" s="24">
        <f t="shared" si="3"/>
        <v>0.34499999999999997</v>
      </c>
      <c r="DG44" s="5" t="e">
        <f t="shared" si="2"/>
        <v>#DIV/0!</v>
      </c>
    </row>
    <row r="45" spans="1:111" ht="15" customHeight="1" thickBot="1">
      <c r="A45" s="9" t="s">
        <v>86</v>
      </c>
      <c r="B45" s="9"/>
      <c r="C45" s="9"/>
      <c r="D45" s="9" t="s">
        <v>105</v>
      </c>
      <c r="F45" s="15"/>
      <c r="G45" s="15" t="s">
        <v>247</v>
      </c>
      <c r="H45" s="15" t="s">
        <v>248</v>
      </c>
      <c r="I45" s="15" t="s">
        <v>249</v>
      </c>
      <c r="J45" s="15" t="s">
        <v>250</v>
      </c>
      <c r="K45" s="15" t="s">
        <v>251</v>
      </c>
      <c r="L45" s="15"/>
      <c r="M45" s="15" t="s">
        <v>252</v>
      </c>
      <c r="N45" s="15" t="s">
        <v>253</v>
      </c>
      <c r="O45" s="15" t="s">
        <v>254</v>
      </c>
      <c r="Q45" s="15" t="s">
        <v>255</v>
      </c>
      <c r="S45" s="15"/>
      <c r="T45" s="9"/>
      <c r="U45" s="9"/>
      <c r="X45" s="15" t="s">
        <v>256</v>
      </c>
      <c r="AD45" s="15" t="s">
        <v>257</v>
      </c>
      <c r="BG45">
        <f t="shared" si="5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>
        <f t="shared" si="9"/>
        <v>0</v>
      </c>
      <c r="BL45">
        <f t="shared" si="10"/>
        <v>0</v>
      </c>
      <c r="BM45">
        <f t="shared" si="11"/>
        <v>0</v>
      </c>
      <c r="BN45">
        <f t="shared" si="12"/>
        <v>0</v>
      </c>
      <c r="BO45">
        <f t="shared" si="13"/>
        <v>0</v>
      </c>
      <c r="BP45">
        <f t="shared" si="14"/>
        <v>0</v>
      </c>
      <c r="BQ45">
        <f t="shared" si="15"/>
        <v>0</v>
      </c>
      <c r="BR45">
        <f t="shared" si="16"/>
        <v>0</v>
      </c>
      <c r="BS45">
        <f t="shared" si="17"/>
        <v>0</v>
      </c>
      <c r="BT45">
        <f t="shared" si="18"/>
        <v>0</v>
      </c>
      <c r="BU45" t="e">
        <f t="shared" si="24"/>
        <v>#DIV/0!</v>
      </c>
      <c r="BV45" t="e">
        <f t="shared" si="22"/>
        <v>#DIV/0!</v>
      </c>
      <c r="BX45" t="e">
        <f t="shared" si="23"/>
        <v>#DIV/0!</v>
      </c>
      <c r="BZ45" t="s">
        <v>173</v>
      </c>
      <c r="CA45" t="s">
        <v>173</v>
      </c>
      <c r="CB45" t="s">
        <v>173</v>
      </c>
      <c r="CC45" t="s">
        <v>173</v>
      </c>
      <c r="CD45" t="s">
        <v>173</v>
      </c>
      <c r="CE45" t="s">
        <v>173</v>
      </c>
      <c r="CF45">
        <v>6.3E-3</v>
      </c>
      <c r="CG45" s="31">
        <v>0</v>
      </c>
      <c r="CH45" t="s">
        <v>173</v>
      </c>
      <c r="CI45">
        <v>5.4600000000000003E-2</v>
      </c>
      <c r="CJ45">
        <v>3.2599999999999997E-2</v>
      </c>
      <c r="CK45">
        <v>0.30109999999999998</v>
      </c>
      <c r="CL45">
        <v>3.6499999999999998E-2</v>
      </c>
      <c r="CM45">
        <v>4.1200000000000001E-2</v>
      </c>
      <c r="CN45">
        <v>0</v>
      </c>
      <c r="CO45" t="s">
        <v>173</v>
      </c>
      <c r="CP45" t="s">
        <v>173</v>
      </c>
      <c r="CQ45" t="s">
        <v>173</v>
      </c>
      <c r="CR45" t="s">
        <v>173</v>
      </c>
      <c r="CS45" t="s">
        <v>173</v>
      </c>
      <c r="CT45" t="s">
        <v>173</v>
      </c>
      <c r="CU45" t="s">
        <v>173</v>
      </c>
      <c r="CV45" t="s">
        <v>173</v>
      </c>
      <c r="CW45" t="s">
        <v>173</v>
      </c>
      <c r="CX45">
        <v>0</v>
      </c>
      <c r="CY45">
        <v>0.46989999999999998</v>
      </c>
      <c r="CZ45" t="s">
        <v>173</v>
      </c>
      <c r="DA45" t="s">
        <v>173</v>
      </c>
      <c r="DB45" t="s">
        <v>173</v>
      </c>
      <c r="DC45" s="24">
        <f t="shared" si="0"/>
        <v>8.72E-2</v>
      </c>
      <c r="DD45" s="24">
        <f t="shared" si="1"/>
        <v>6.3E-3</v>
      </c>
      <c r="DE45" s="24">
        <f t="shared" si="3"/>
        <v>0.34229999999999999</v>
      </c>
      <c r="DG45" s="5" t="e">
        <f t="shared" si="2"/>
        <v>#DIV/0!</v>
      </c>
    </row>
    <row r="46" spans="1:111" ht="15" thickBot="1">
      <c r="A46" s="9" t="s">
        <v>86</v>
      </c>
      <c r="B46" s="9"/>
      <c r="C46" s="9"/>
      <c r="D46" s="9" t="s">
        <v>105</v>
      </c>
      <c r="F46" s="15"/>
      <c r="G46" s="15" t="s">
        <v>258</v>
      </c>
      <c r="H46" s="15" t="s">
        <v>259</v>
      </c>
      <c r="I46" s="15" t="s">
        <v>260</v>
      </c>
      <c r="J46" s="15" t="s">
        <v>261</v>
      </c>
      <c r="K46" s="15" t="s">
        <v>262</v>
      </c>
      <c r="L46" s="15"/>
      <c r="M46" s="15" t="s">
        <v>263</v>
      </c>
      <c r="N46" s="15" t="s">
        <v>245</v>
      </c>
      <c r="O46" s="15" t="s">
        <v>264</v>
      </c>
      <c r="Q46" s="15" t="s">
        <v>265</v>
      </c>
      <c r="S46" s="15"/>
      <c r="T46" s="9"/>
      <c r="U46" s="9"/>
      <c r="X46" s="15" t="s">
        <v>266</v>
      </c>
      <c r="AD46" s="15" t="s">
        <v>267</v>
      </c>
      <c r="BG46">
        <f t="shared" si="5"/>
        <v>0</v>
      </c>
      <c r="BH46">
        <f t="shared" si="6"/>
        <v>0</v>
      </c>
      <c r="BI46">
        <f t="shared" si="7"/>
        <v>0</v>
      </c>
      <c r="BJ46">
        <f t="shared" si="8"/>
        <v>0</v>
      </c>
      <c r="BK46">
        <f t="shared" si="9"/>
        <v>0</v>
      </c>
      <c r="BL46">
        <f t="shared" si="10"/>
        <v>0</v>
      </c>
      <c r="BM46">
        <f t="shared" si="11"/>
        <v>0</v>
      </c>
      <c r="BN46">
        <f t="shared" si="12"/>
        <v>0</v>
      </c>
      <c r="BO46">
        <f t="shared" si="13"/>
        <v>0</v>
      </c>
      <c r="BP46">
        <f t="shared" si="14"/>
        <v>0</v>
      </c>
      <c r="BQ46">
        <f t="shared" si="15"/>
        <v>0</v>
      </c>
      <c r="BR46">
        <f t="shared" si="16"/>
        <v>0</v>
      </c>
      <c r="BS46">
        <f t="shared" si="17"/>
        <v>0</v>
      </c>
      <c r="BT46">
        <f t="shared" si="18"/>
        <v>0</v>
      </c>
      <c r="BU46" t="e">
        <f t="shared" si="24"/>
        <v>#DIV/0!</v>
      </c>
      <c r="BV46" t="e">
        <f t="shared" si="22"/>
        <v>#DIV/0!</v>
      </c>
      <c r="BX46" t="e">
        <f t="shared" si="23"/>
        <v>#DIV/0!</v>
      </c>
      <c r="BZ46" t="s">
        <v>173</v>
      </c>
      <c r="CA46" t="s">
        <v>173</v>
      </c>
      <c r="CB46" t="s">
        <v>173</v>
      </c>
      <c r="CC46" t="s">
        <v>173</v>
      </c>
      <c r="CD46" t="s">
        <v>173</v>
      </c>
      <c r="CE46" t="s">
        <v>173</v>
      </c>
      <c r="CF46">
        <v>1E-3</v>
      </c>
      <c r="CG46" s="31">
        <v>0</v>
      </c>
      <c r="CH46" t="s">
        <v>173</v>
      </c>
      <c r="CI46">
        <v>0</v>
      </c>
      <c r="CJ46">
        <v>1.09E-2</v>
      </c>
      <c r="CK46">
        <v>6.3E-2</v>
      </c>
      <c r="CL46">
        <v>1.38E-2</v>
      </c>
      <c r="CM46">
        <v>3.1199999999999999E-2</v>
      </c>
      <c r="CN46">
        <v>0</v>
      </c>
      <c r="CO46" t="s">
        <v>173</v>
      </c>
      <c r="CP46" t="s">
        <v>173</v>
      </c>
      <c r="CQ46" t="s">
        <v>173</v>
      </c>
      <c r="CR46" t="s">
        <v>173</v>
      </c>
      <c r="CS46" t="s">
        <v>173</v>
      </c>
      <c r="CT46" t="s">
        <v>173</v>
      </c>
      <c r="CU46">
        <v>3.5000000000000001E-3</v>
      </c>
      <c r="CV46" t="s">
        <v>173</v>
      </c>
      <c r="CW46" t="s">
        <v>173</v>
      </c>
      <c r="CX46">
        <v>3.2800000000000003E-2</v>
      </c>
      <c r="CY46">
        <v>0.79859999999999998</v>
      </c>
      <c r="CZ46" t="s">
        <v>173</v>
      </c>
      <c r="DA46" t="s">
        <v>173</v>
      </c>
      <c r="DB46" t="s">
        <v>173</v>
      </c>
      <c r="DC46" s="24">
        <f t="shared" si="0"/>
        <v>1.09E-2</v>
      </c>
      <c r="DD46" s="24">
        <f t="shared" si="1"/>
        <v>1E-3</v>
      </c>
      <c r="DE46" s="24">
        <f t="shared" si="3"/>
        <v>9.4200000000000006E-2</v>
      </c>
      <c r="DG46" s="5" t="e">
        <f t="shared" si="2"/>
        <v>#DIV/0!</v>
      </c>
    </row>
    <row r="47" spans="1:111" ht="18.5" thickBot="1">
      <c r="A47" s="9" t="s">
        <v>102</v>
      </c>
      <c r="B47" s="9"/>
      <c r="C47" s="9" t="s">
        <v>99</v>
      </c>
      <c r="D47" s="9" t="s">
        <v>105</v>
      </c>
      <c r="F47" s="15"/>
      <c r="G47" s="15" t="s">
        <v>268</v>
      </c>
      <c r="H47" s="15" t="s">
        <v>269</v>
      </c>
      <c r="I47" s="15" t="s">
        <v>270</v>
      </c>
      <c r="J47" s="15" t="s">
        <v>271</v>
      </c>
      <c r="K47" s="15" t="s">
        <v>272</v>
      </c>
      <c r="L47" s="15"/>
      <c r="M47" s="15" t="s">
        <v>273</v>
      </c>
      <c r="N47" s="15" t="s">
        <v>274</v>
      </c>
      <c r="O47" s="15" t="s">
        <v>275</v>
      </c>
      <c r="Q47" s="15" t="s">
        <v>224</v>
      </c>
      <c r="S47" s="15"/>
      <c r="T47" s="9"/>
      <c r="U47" s="9"/>
      <c r="X47" s="15" t="s">
        <v>276</v>
      </c>
      <c r="AD47" s="15" t="s">
        <v>277</v>
      </c>
      <c r="BG47">
        <f t="shared" si="5"/>
        <v>0</v>
      </c>
      <c r="BH47">
        <f t="shared" si="6"/>
        <v>0</v>
      </c>
      <c r="BI47">
        <f t="shared" si="7"/>
        <v>0</v>
      </c>
      <c r="BJ47">
        <f t="shared" si="8"/>
        <v>0</v>
      </c>
      <c r="BK47">
        <f t="shared" si="9"/>
        <v>0</v>
      </c>
      <c r="BL47">
        <f t="shared" si="10"/>
        <v>0</v>
      </c>
      <c r="BM47">
        <f t="shared" si="11"/>
        <v>0</v>
      </c>
      <c r="BN47">
        <f t="shared" si="12"/>
        <v>0</v>
      </c>
      <c r="BO47">
        <f t="shared" si="13"/>
        <v>0</v>
      </c>
      <c r="BP47">
        <f t="shared" si="14"/>
        <v>0</v>
      </c>
      <c r="BQ47">
        <f t="shared" si="15"/>
        <v>0</v>
      </c>
      <c r="BR47">
        <f t="shared" si="16"/>
        <v>0</v>
      </c>
      <c r="BS47">
        <f t="shared" si="17"/>
        <v>0</v>
      </c>
      <c r="BT47">
        <f t="shared" si="18"/>
        <v>0</v>
      </c>
      <c r="BU47" t="e">
        <f t="shared" si="24"/>
        <v>#DIV/0!</v>
      </c>
      <c r="BV47" t="e">
        <f t="shared" si="22"/>
        <v>#DIV/0!</v>
      </c>
      <c r="BX47" t="e">
        <f t="shared" si="23"/>
        <v>#DIV/0!</v>
      </c>
      <c r="BZ47" t="s">
        <v>173</v>
      </c>
      <c r="CA47" t="s">
        <v>173</v>
      </c>
      <c r="CB47" t="s">
        <v>173</v>
      </c>
      <c r="CC47" t="s">
        <v>173</v>
      </c>
      <c r="CD47" t="s">
        <v>173</v>
      </c>
      <c r="CE47" t="s">
        <v>173</v>
      </c>
      <c r="CF47">
        <v>1.66E-2</v>
      </c>
      <c r="CG47" s="31">
        <v>0</v>
      </c>
      <c r="CH47" t="s">
        <v>173</v>
      </c>
      <c r="CI47">
        <v>0</v>
      </c>
      <c r="CJ47">
        <v>4.8399999999999999E-2</v>
      </c>
      <c r="CK47">
        <v>9.7699999999999995E-2</v>
      </c>
      <c r="CL47">
        <v>1.03E-2</v>
      </c>
      <c r="CM47">
        <v>0</v>
      </c>
      <c r="CN47">
        <v>0</v>
      </c>
      <c r="CO47" t="s">
        <v>173</v>
      </c>
      <c r="CP47" t="s">
        <v>173</v>
      </c>
      <c r="CQ47" t="s">
        <v>173</v>
      </c>
      <c r="CR47" t="s">
        <v>173</v>
      </c>
      <c r="CS47" t="s">
        <v>173</v>
      </c>
      <c r="CT47" t="s">
        <v>173</v>
      </c>
      <c r="CU47">
        <v>2.0799999999999999E-2</v>
      </c>
      <c r="CV47">
        <v>1.11E-2</v>
      </c>
      <c r="CW47">
        <v>3.2000000000000002E-3</v>
      </c>
      <c r="CX47">
        <v>5.8099999999999999E-2</v>
      </c>
      <c r="CY47">
        <v>0.73360000000000003</v>
      </c>
      <c r="CZ47" t="s">
        <v>173</v>
      </c>
      <c r="DA47" t="s">
        <v>173</v>
      </c>
      <c r="DB47" t="s">
        <v>173</v>
      </c>
      <c r="DC47" s="24">
        <f t="shared" si="0"/>
        <v>4.8399999999999999E-2</v>
      </c>
      <c r="DD47" s="24">
        <f t="shared" si="1"/>
        <v>1.66E-2</v>
      </c>
      <c r="DE47" s="24">
        <f t="shared" si="3"/>
        <v>9.7699999999999995E-2</v>
      </c>
      <c r="DG47" s="5" t="e">
        <f t="shared" si="2"/>
        <v>#DIV/0!</v>
      </c>
    </row>
    <row r="48" spans="1:111" ht="18.5" thickBot="1">
      <c r="A48" s="9" t="s">
        <v>103</v>
      </c>
      <c r="B48" s="9"/>
      <c r="C48" s="9" t="s">
        <v>100</v>
      </c>
      <c r="D48" s="9" t="s">
        <v>105</v>
      </c>
      <c r="F48" s="15"/>
      <c r="G48" s="15" t="s">
        <v>278</v>
      </c>
      <c r="H48" s="15" t="s">
        <v>279</v>
      </c>
      <c r="I48" s="15" t="s">
        <v>280</v>
      </c>
      <c r="J48" s="15" t="s">
        <v>281</v>
      </c>
      <c r="K48" s="15" t="s">
        <v>282</v>
      </c>
      <c r="L48" s="15"/>
      <c r="M48" s="15" t="s">
        <v>273</v>
      </c>
      <c r="N48" s="15" t="s">
        <v>283</v>
      </c>
      <c r="O48" s="15" t="s">
        <v>284</v>
      </c>
      <c r="Q48" s="15" t="s">
        <v>285</v>
      </c>
      <c r="S48" s="15"/>
      <c r="T48" s="9"/>
      <c r="U48" s="9"/>
      <c r="X48" s="15" t="s">
        <v>286</v>
      </c>
      <c r="AD48" s="15" t="s">
        <v>287</v>
      </c>
      <c r="BG48">
        <f t="shared" si="5"/>
        <v>0</v>
      </c>
      <c r="BH48">
        <f t="shared" si="6"/>
        <v>0</v>
      </c>
      <c r="BI48">
        <f t="shared" si="7"/>
        <v>0</v>
      </c>
      <c r="BJ48">
        <f t="shared" si="8"/>
        <v>0</v>
      </c>
      <c r="BK48">
        <f t="shared" si="9"/>
        <v>0</v>
      </c>
      <c r="BL48">
        <f t="shared" si="10"/>
        <v>0</v>
      </c>
      <c r="BM48">
        <f t="shared" si="11"/>
        <v>0</v>
      </c>
      <c r="BN48">
        <f t="shared" si="12"/>
        <v>0</v>
      </c>
      <c r="BO48">
        <f t="shared" si="13"/>
        <v>0</v>
      </c>
      <c r="BP48">
        <f t="shared" si="14"/>
        <v>0</v>
      </c>
      <c r="BQ48">
        <f t="shared" si="15"/>
        <v>0</v>
      </c>
      <c r="BR48">
        <f t="shared" si="16"/>
        <v>0</v>
      </c>
      <c r="BS48">
        <f t="shared" si="17"/>
        <v>0</v>
      </c>
      <c r="BT48">
        <f t="shared" si="18"/>
        <v>0</v>
      </c>
      <c r="BU48" t="e">
        <f t="shared" si="24"/>
        <v>#DIV/0!</v>
      </c>
      <c r="BV48" t="e">
        <f t="shared" si="22"/>
        <v>#DIV/0!</v>
      </c>
      <c r="BX48" t="e">
        <f t="shared" si="23"/>
        <v>#DIV/0!</v>
      </c>
      <c r="BZ48" t="s">
        <v>173</v>
      </c>
      <c r="CA48" t="s">
        <v>173</v>
      </c>
      <c r="CB48" t="s">
        <v>173</v>
      </c>
      <c r="CC48" t="s">
        <v>173</v>
      </c>
      <c r="CD48" t="s">
        <v>173</v>
      </c>
      <c r="CE48" t="s">
        <v>173</v>
      </c>
      <c r="CF48">
        <v>2.2100000000000002E-2</v>
      </c>
      <c r="CG48" s="31">
        <v>0</v>
      </c>
      <c r="CH48" t="s">
        <v>173</v>
      </c>
      <c r="CI48">
        <v>0</v>
      </c>
      <c r="CJ48">
        <v>4.7300000000000002E-2</v>
      </c>
      <c r="CK48">
        <v>0.1232</v>
      </c>
      <c r="CL48">
        <v>1.8599999999999998E-2</v>
      </c>
      <c r="CM48">
        <v>6.7000000000000002E-3</v>
      </c>
      <c r="CN48">
        <v>0</v>
      </c>
      <c r="CO48" t="s">
        <v>173</v>
      </c>
      <c r="CP48" t="s">
        <v>173</v>
      </c>
      <c r="CQ48" t="s">
        <v>173</v>
      </c>
      <c r="CR48" t="s">
        <v>173</v>
      </c>
      <c r="CS48" t="s">
        <v>173</v>
      </c>
      <c r="CT48" t="s">
        <v>173</v>
      </c>
      <c r="CU48">
        <v>3.6200000000000003E-2</v>
      </c>
      <c r="CV48">
        <v>8.8999999999999999E-3</v>
      </c>
      <c r="CW48" t="s">
        <v>173</v>
      </c>
      <c r="CX48">
        <v>5.7200000000000001E-2</v>
      </c>
      <c r="CY48">
        <v>0.67910000000000004</v>
      </c>
      <c r="CZ48" t="s">
        <v>173</v>
      </c>
      <c r="DA48" t="s">
        <v>173</v>
      </c>
      <c r="DB48" t="s">
        <v>173</v>
      </c>
      <c r="DC48" s="24">
        <f t="shared" si="0"/>
        <v>4.7300000000000002E-2</v>
      </c>
      <c r="DD48" s="24">
        <f t="shared" si="1"/>
        <v>2.2100000000000002E-2</v>
      </c>
      <c r="DE48" s="24">
        <f t="shared" si="3"/>
        <v>0.12990000000000002</v>
      </c>
      <c r="DG48" s="5" t="e">
        <f t="shared" si="2"/>
        <v>#DIV/0!</v>
      </c>
    </row>
    <row r="49" spans="1:111" ht="15" customHeight="1" thickBot="1">
      <c r="A49" s="9" t="s">
        <v>103</v>
      </c>
      <c r="B49" s="9"/>
      <c r="C49" s="9"/>
      <c r="D49" s="9" t="s">
        <v>105</v>
      </c>
      <c r="F49" s="15"/>
      <c r="G49" s="15" t="s">
        <v>175</v>
      </c>
      <c r="H49" s="15" t="s">
        <v>288</v>
      </c>
      <c r="I49" s="15" t="s">
        <v>289</v>
      </c>
      <c r="J49" s="15" t="s">
        <v>290</v>
      </c>
      <c r="K49" s="15" t="s">
        <v>291</v>
      </c>
      <c r="L49" s="15"/>
      <c r="M49" s="15" t="s">
        <v>292</v>
      </c>
      <c r="N49" s="15" t="s">
        <v>293</v>
      </c>
      <c r="O49" s="15" t="s">
        <v>294</v>
      </c>
      <c r="Q49" s="15" t="s">
        <v>295</v>
      </c>
      <c r="S49" s="15"/>
      <c r="T49" s="9"/>
      <c r="U49" s="9"/>
      <c r="X49" s="15" t="s">
        <v>296</v>
      </c>
      <c r="AD49" s="15" t="s">
        <v>297</v>
      </c>
      <c r="BG49">
        <f t="shared" si="5"/>
        <v>0</v>
      </c>
      <c r="BH49">
        <f t="shared" si="6"/>
        <v>0</v>
      </c>
      <c r="BI49">
        <f t="shared" si="7"/>
        <v>0</v>
      </c>
      <c r="BJ49">
        <f t="shared" si="8"/>
        <v>0</v>
      </c>
      <c r="BK49">
        <f t="shared" si="9"/>
        <v>0</v>
      </c>
      <c r="BL49">
        <f t="shared" si="10"/>
        <v>0</v>
      </c>
      <c r="BM49">
        <f t="shared" si="11"/>
        <v>0</v>
      </c>
      <c r="BN49">
        <f t="shared" si="12"/>
        <v>0</v>
      </c>
      <c r="BO49">
        <f t="shared" si="13"/>
        <v>0</v>
      </c>
      <c r="BP49">
        <f t="shared" si="14"/>
        <v>0</v>
      </c>
      <c r="BQ49">
        <f t="shared" si="15"/>
        <v>0</v>
      </c>
      <c r="BR49">
        <f t="shared" si="16"/>
        <v>0</v>
      </c>
      <c r="BS49">
        <f t="shared" si="17"/>
        <v>0</v>
      </c>
      <c r="BT49">
        <f t="shared" si="18"/>
        <v>0</v>
      </c>
      <c r="BZ49" t="s">
        <v>173</v>
      </c>
      <c r="CA49" t="s">
        <v>173</v>
      </c>
      <c r="CB49" t="s">
        <v>173</v>
      </c>
      <c r="CC49" t="s">
        <v>173</v>
      </c>
      <c r="CD49" t="s">
        <v>173</v>
      </c>
      <c r="CE49" t="s">
        <v>173</v>
      </c>
      <c r="CF49">
        <v>2.2499999999999999E-2</v>
      </c>
      <c r="CG49" s="31">
        <v>0</v>
      </c>
      <c r="CH49" t="s">
        <v>173</v>
      </c>
      <c r="CI49">
        <v>0</v>
      </c>
      <c r="CJ49">
        <v>5.7000000000000002E-2</v>
      </c>
      <c r="CK49">
        <v>0.11070000000000001</v>
      </c>
      <c r="CL49">
        <v>1.7899999999999999E-2</v>
      </c>
      <c r="CM49">
        <v>0</v>
      </c>
      <c r="CN49">
        <v>0</v>
      </c>
      <c r="CO49" t="s">
        <v>173</v>
      </c>
      <c r="CP49" t="s">
        <v>173</v>
      </c>
      <c r="CQ49" t="s">
        <v>173</v>
      </c>
      <c r="CR49" t="s">
        <v>173</v>
      </c>
      <c r="CS49" t="s">
        <v>173</v>
      </c>
      <c r="CT49" t="s">
        <v>173</v>
      </c>
      <c r="CU49">
        <v>3.5999999999999997E-2</v>
      </c>
      <c r="CV49">
        <v>1.0800000000000001E-2</v>
      </c>
      <c r="CW49">
        <v>2.0000000000000001E-4</v>
      </c>
      <c r="CX49">
        <v>5.0299999999999997E-2</v>
      </c>
      <c r="CY49">
        <v>0.69310000000000005</v>
      </c>
      <c r="CZ49" t="s">
        <v>173</v>
      </c>
      <c r="DA49" t="s">
        <v>173</v>
      </c>
      <c r="DB49" t="s">
        <v>173</v>
      </c>
      <c r="DC49" s="24">
        <f t="shared" si="0"/>
        <v>5.7000000000000002E-2</v>
      </c>
      <c r="DD49" s="24">
        <f t="shared" si="1"/>
        <v>2.2499999999999999E-2</v>
      </c>
      <c r="DE49" s="24">
        <f t="shared" si="3"/>
        <v>0.11070000000000001</v>
      </c>
      <c r="DG49" s="5" t="e">
        <f t="shared" si="2"/>
        <v>#DIV/0!</v>
      </c>
    </row>
    <row r="50" spans="1:111" ht="15" thickBot="1">
      <c r="F50" s="15"/>
      <c r="G50" s="14"/>
      <c r="I50" s="16"/>
      <c r="S50" s="15"/>
      <c r="T50" s="9"/>
      <c r="U50" s="9"/>
      <c r="BA50" s="9"/>
      <c r="BG50">
        <f t="shared" si="5"/>
        <v>0</v>
      </c>
      <c r="BH50">
        <f t="shared" si="6"/>
        <v>0</v>
      </c>
      <c r="BI50">
        <f t="shared" si="7"/>
        <v>0</v>
      </c>
      <c r="BJ50">
        <f t="shared" si="8"/>
        <v>0</v>
      </c>
      <c r="BK50">
        <f t="shared" si="9"/>
        <v>0</v>
      </c>
      <c r="BL50">
        <f t="shared" si="10"/>
        <v>0</v>
      </c>
      <c r="BM50">
        <f t="shared" si="11"/>
        <v>0</v>
      </c>
      <c r="BN50">
        <f t="shared" si="12"/>
        <v>0</v>
      </c>
      <c r="BO50">
        <f t="shared" si="13"/>
        <v>0</v>
      </c>
      <c r="BP50">
        <f t="shared" si="14"/>
        <v>0</v>
      </c>
      <c r="BQ50">
        <f t="shared" si="15"/>
        <v>0</v>
      </c>
      <c r="BR50">
        <f t="shared" si="16"/>
        <v>0</v>
      </c>
      <c r="BS50">
        <f t="shared" si="17"/>
        <v>0</v>
      </c>
      <c r="BT50">
        <f t="shared" si="18"/>
        <v>0</v>
      </c>
      <c r="CG50" s="31">
        <v>0</v>
      </c>
      <c r="CJ50">
        <v>0</v>
      </c>
      <c r="CK50">
        <v>0</v>
      </c>
      <c r="CL50">
        <v>0</v>
      </c>
      <c r="CM50">
        <v>0</v>
      </c>
      <c r="CN50">
        <v>0</v>
      </c>
      <c r="CX50">
        <v>0</v>
      </c>
      <c r="DC50" s="24">
        <f t="shared" si="0"/>
        <v>0</v>
      </c>
      <c r="DD50" s="24">
        <f t="shared" si="1"/>
        <v>0</v>
      </c>
      <c r="DE50" s="24">
        <f t="shared" si="3"/>
        <v>0</v>
      </c>
      <c r="DG50" s="5" t="e">
        <f t="shared" si="2"/>
        <v>#DIV/0!</v>
      </c>
    </row>
    <row r="51" spans="1:111" ht="15" thickBot="1">
      <c r="A51" s="9" t="s">
        <v>392</v>
      </c>
      <c r="B51" t="s">
        <v>391</v>
      </c>
      <c r="C51" t="s">
        <v>106</v>
      </c>
      <c r="D51" s="9" t="s">
        <v>110</v>
      </c>
      <c r="F51" s="15"/>
      <c r="G51" s="14">
        <v>34.53</v>
      </c>
      <c r="H51">
        <v>4.43</v>
      </c>
      <c r="I51" s="16">
        <v>5.47</v>
      </c>
      <c r="K51">
        <v>18.876613438537166</v>
      </c>
      <c r="M51">
        <v>0.66</v>
      </c>
      <c r="N51">
        <v>0.83</v>
      </c>
      <c r="O51">
        <v>32.11</v>
      </c>
      <c r="S51" s="15"/>
      <c r="T51" s="9"/>
      <c r="U51" s="9"/>
      <c r="X51">
        <v>0.33</v>
      </c>
      <c r="AA51">
        <v>0.4</v>
      </c>
      <c r="AD51">
        <v>99.75</v>
      </c>
      <c r="AG51">
        <v>1542</v>
      </c>
      <c r="AH51">
        <v>42.18</v>
      </c>
      <c r="AI51">
        <v>310.3</v>
      </c>
      <c r="AJ51">
        <v>70.14</v>
      </c>
      <c r="AK51">
        <v>489.4</v>
      </c>
      <c r="AL51">
        <v>155.4</v>
      </c>
      <c r="AM51">
        <v>58.96</v>
      </c>
      <c r="AN51">
        <v>166.8</v>
      </c>
      <c r="AO51">
        <v>24.2</v>
      </c>
      <c r="AP51">
        <v>154.30000000000001</v>
      </c>
      <c r="AQ51">
        <v>28.42</v>
      </c>
      <c r="AR51">
        <v>78.62</v>
      </c>
      <c r="AS51">
        <v>10.97</v>
      </c>
      <c r="AT51">
        <v>70.58</v>
      </c>
      <c r="AU51">
        <v>8.99</v>
      </c>
      <c r="AV51">
        <v>7.81</v>
      </c>
      <c r="AW51">
        <v>26.4</v>
      </c>
      <c r="AX51">
        <v>12.37</v>
      </c>
      <c r="AY51">
        <v>385.3</v>
      </c>
      <c r="BA51">
        <v>1139</v>
      </c>
      <c r="BB51" s="9">
        <v>714</v>
      </c>
      <c r="BG51">
        <f t="shared" si="5"/>
        <v>177.97468354430382</v>
      </c>
      <c r="BH51">
        <f t="shared" si="6"/>
        <v>507.02614379084969</v>
      </c>
      <c r="BI51">
        <f t="shared" si="7"/>
        <v>738.31578947368416</v>
      </c>
      <c r="BJ51">
        <f t="shared" si="8"/>
        <v>1047.9657387580298</v>
      </c>
      <c r="BK51">
        <f t="shared" si="9"/>
        <v>1015.686274509804</v>
      </c>
      <c r="BL51">
        <f t="shared" si="10"/>
        <v>1016.551724137931</v>
      </c>
      <c r="BM51">
        <f t="shared" si="11"/>
        <v>811.67883211678839</v>
      </c>
      <c r="BN51">
        <f t="shared" si="12"/>
        <v>647.05882352941171</v>
      </c>
      <c r="BO51">
        <f t="shared" si="13"/>
        <v>607.48031496062993</v>
      </c>
      <c r="BP51">
        <f t="shared" si="14"/>
        <v>502.12014134275626</v>
      </c>
      <c r="BQ51">
        <f t="shared" si="15"/>
        <v>475.04531722054384</v>
      </c>
      <c r="BR51">
        <f t="shared" si="16"/>
        <v>430.1960784313726</v>
      </c>
      <c r="BS51">
        <f t="shared" si="17"/>
        <v>415.17647058823525</v>
      </c>
      <c r="BT51">
        <f t="shared" si="18"/>
        <v>353.93700787401576</v>
      </c>
      <c r="BU51">
        <f>BK51/BS51</f>
        <v>2.4463965240389163</v>
      </c>
      <c r="BV51">
        <f t="shared" si="22"/>
        <v>5.7069143446852424</v>
      </c>
      <c r="BX51">
        <f t="shared" si="23"/>
        <v>0.42867237464624047</v>
      </c>
      <c r="CF51">
        <v>6.7000000000000002E-3</v>
      </c>
      <c r="CG51" s="31">
        <v>0</v>
      </c>
      <c r="CH51" t="s">
        <v>173</v>
      </c>
      <c r="CI51">
        <v>0</v>
      </c>
      <c r="CJ51">
        <v>5.9799999999999999E-2</v>
      </c>
      <c r="CK51">
        <v>0.15720000000000001</v>
      </c>
      <c r="CL51">
        <v>0</v>
      </c>
      <c r="CM51">
        <v>0</v>
      </c>
      <c r="CN51">
        <v>0</v>
      </c>
      <c r="CO51" t="s">
        <v>173</v>
      </c>
      <c r="CP51" t="s">
        <v>173</v>
      </c>
      <c r="CQ51" t="s">
        <v>173</v>
      </c>
      <c r="CR51" t="s">
        <v>173</v>
      </c>
      <c r="CS51" t="s">
        <v>173</v>
      </c>
      <c r="CT51" t="s">
        <v>173</v>
      </c>
      <c r="CU51">
        <v>1.95E-2</v>
      </c>
      <c r="CV51">
        <v>2.7199999999999998E-2</v>
      </c>
      <c r="CW51">
        <v>1.1000000000000001E-3</v>
      </c>
      <c r="CX51">
        <v>0.15340000000000001</v>
      </c>
      <c r="CY51">
        <v>0.57520000000000004</v>
      </c>
      <c r="CZ51" t="s">
        <v>173</v>
      </c>
      <c r="DA51" t="s">
        <v>173</v>
      </c>
      <c r="DB51" t="s">
        <v>173</v>
      </c>
      <c r="DC51" s="24">
        <f t="shared" si="0"/>
        <v>5.9799999999999999E-2</v>
      </c>
      <c r="DD51" s="24">
        <f t="shared" si="1"/>
        <v>6.7000000000000002E-3</v>
      </c>
      <c r="DE51" s="24">
        <f t="shared" si="3"/>
        <v>0.15720000000000001</v>
      </c>
      <c r="DG51" s="5">
        <f t="shared" si="2"/>
        <v>197.4391805377721</v>
      </c>
    </row>
    <row r="52" spans="1:111" ht="15" thickBot="1">
      <c r="C52" t="s">
        <v>106</v>
      </c>
      <c r="D52" s="9" t="s">
        <v>110</v>
      </c>
      <c r="F52" s="15"/>
      <c r="G52" s="14">
        <v>34.04</v>
      </c>
      <c r="H52">
        <v>4.09</v>
      </c>
      <c r="I52" s="16">
        <v>5.44</v>
      </c>
      <c r="K52">
        <v>18.885610871062685</v>
      </c>
      <c r="M52">
        <v>0.56999999999999995</v>
      </c>
      <c r="N52">
        <v>0.8</v>
      </c>
      <c r="O52">
        <v>32.340000000000003</v>
      </c>
      <c r="S52" s="15"/>
      <c r="T52" s="9"/>
      <c r="U52" s="9"/>
      <c r="X52">
        <v>0.3</v>
      </c>
      <c r="AA52">
        <v>0.4</v>
      </c>
      <c r="AD52">
        <v>98.97</v>
      </c>
      <c r="AG52">
        <v>2056</v>
      </c>
      <c r="AH52">
        <v>47.88</v>
      </c>
      <c r="AI52">
        <v>336</v>
      </c>
      <c r="AJ52">
        <v>76.41</v>
      </c>
      <c r="AK52">
        <v>541.5</v>
      </c>
      <c r="AL52">
        <v>176.4</v>
      </c>
      <c r="AM52">
        <v>64.66</v>
      </c>
      <c r="AN52">
        <v>199.9</v>
      </c>
      <c r="AO52">
        <v>29.48</v>
      </c>
      <c r="AP52">
        <v>191.8</v>
      </c>
      <c r="AQ52">
        <v>35.950000000000003</v>
      </c>
      <c r="AR52">
        <v>100.2</v>
      </c>
      <c r="AS52">
        <v>13.18</v>
      </c>
      <c r="AT52">
        <v>87.89</v>
      </c>
      <c r="AU52">
        <v>11.26</v>
      </c>
      <c r="AV52">
        <v>11.8</v>
      </c>
      <c r="AW52">
        <v>34.090000000000003</v>
      </c>
      <c r="AX52">
        <v>13.46</v>
      </c>
      <c r="AY52">
        <v>550.20000000000005</v>
      </c>
      <c r="BA52">
        <v>1519</v>
      </c>
      <c r="BB52" s="9">
        <v>893</v>
      </c>
      <c r="BG52">
        <f t="shared" si="5"/>
        <v>202.02531645569621</v>
      </c>
      <c r="BH52">
        <f t="shared" si="6"/>
        <v>549.01960784313724</v>
      </c>
      <c r="BI52">
        <f t="shared" si="7"/>
        <v>804.31578947368416</v>
      </c>
      <c r="BJ52">
        <f t="shared" si="8"/>
        <v>1159.5289079229121</v>
      </c>
      <c r="BK52">
        <f t="shared" si="9"/>
        <v>1152.9411764705883</v>
      </c>
      <c r="BL52">
        <f t="shared" si="10"/>
        <v>1114.8275862068965</v>
      </c>
      <c r="BM52">
        <f t="shared" si="11"/>
        <v>972.74939172749396</v>
      </c>
      <c r="BN52">
        <f t="shared" si="12"/>
        <v>788.23529411764696</v>
      </c>
      <c r="BO52">
        <f t="shared" si="13"/>
        <v>755.11811023622056</v>
      </c>
      <c r="BP52">
        <f t="shared" si="14"/>
        <v>635.15901060070678</v>
      </c>
      <c r="BQ52">
        <f t="shared" si="15"/>
        <v>605.43806646525684</v>
      </c>
      <c r="BR52">
        <f t="shared" si="16"/>
        <v>516.86274509803923</v>
      </c>
      <c r="BS52">
        <f t="shared" si="17"/>
        <v>517</v>
      </c>
      <c r="BT52">
        <f t="shared" si="18"/>
        <v>443.30708661417322</v>
      </c>
      <c r="BU52">
        <f t="shared" ref="BU52:BU95" si="25">BK52/BS52</f>
        <v>2.230060302651041</v>
      </c>
      <c r="BV52">
        <f t="shared" ref="BV52:BV95" si="26">BK52/BG52</f>
        <v>5.7069143446852424</v>
      </c>
      <c r="BX52">
        <f t="shared" ref="BX52:BX95" si="27">BG52/BS52</f>
        <v>0.39076463531082439</v>
      </c>
      <c r="BZ52" t="s">
        <v>173</v>
      </c>
      <c r="CA52" t="s">
        <v>173</v>
      </c>
      <c r="CB52" t="s">
        <v>173</v>
      </c>
      <c r="CC52" t="s">
        <v>173</v>
      </c>
      <c r="CD52" t="s">
        <v>173</v>
      </c>
      <c r="CE52" t="s">
        <v>173</v>
      </c>
      <c r="CF52">
        <v>6.1000000000000004E-3</v>
      </c>
      <c r="CG52" s="31">
        <v>0</v>
      </c>
      <c r="CH52" t="s">
        <v>173</v>
      </c>
      <c r="CI52">
        <v>0</v>
      </c>
      <c r="CJ52">
        <v>7.0300000000000001E-2</v>
      </c>
      <c r="CK52">
        <v>9.0800000000000006E-2</v>
      </c>
      <c r="CL52">
        <v>0</v>
      </c>
      <c r="CM52">
        <v>2.5999999999999999E-2</v>
      </c>
      <c r="CN52">
        <v>0</v>
      </c>
      <c r="CO52" t="s">
        <v>173</v>
      </c>
      <c r="CP52" t="s">
        <v>173</v>
      </c>
      <c r="CQ52" t="s">
        <v>173</v>
      </c>
      <c r="CR52" t="s">
        <v>173</v>
      </c>
      <c r="CS52" t="s">
        <v>173</v>
      </c>
      <c r="CT52" t="s">
        <v>173</v>
      </c>
      <c r="CU52">
        <v>1.89E-2</v>
      </c>
      <c r="CV52">
        <v>1.4999999999999999E-2</v>
      </c>
      <c r="CW52" t="s">
        <v>173</v>
      </c>
      <c r="CX52">
        <v>0.1578</v>
      </c>
      <c r="CY52">
        <v>0.61509999999999998</v>
      </c>
      <c r="CZ52" t="s">
        <v>173</v>
      </c>
      <c r="DA52" t="s">
        <v>173</v>
      </c>
      <c r="DB52" t="s">
        <v>173</v>
      </c>
      <c r="DC52" s="24">
        <f t="shared" si="0"/>
        <v>7.0300000000000001E-2</v>
      </c>
      <c r="DD52" s="24">
        <f t="shared" si="1"/>
        <v>6.1000000000000004E-3</v>
      </c>
      <c r="DE52" s="24">
        <f t="shared" si="3"/>
        <v>0.1168</v>
      </c>
      <c r="DG52" s="5">
        <f t="shared" si="2"/>
        <v>174.23728813559322</v>
      </c>
    </row>
    <row r="53" spans="1:111" ht="15" thickBot="1">
      <c r="C53" t="s">
        <v>107</v>
      </c>
      <c r="D53" s="9" t="s">
        <v>110</v>
      </c>
      <c r="F53" s="9"/>
      <c r="G53" s="14">
        <v>34.619999999999997</v>
      </c>
      <c r="H53">
        <v>2.87</v>
      </c>
      <c r="I53" s="16">
        <v>5.17</v>
      </c>
      <c r="K53">
        <v>19.99229507170142</v>
      </c>
      <c r="M53">
        <v>0.52</v>
      </c>
      <c r="N53">
        <v>1.05</v>
      </c>
      <c r="O53">
        <v>32.08</v>
      </c>
      <c r="S53" s="9"/>
      <c r="T53" s="9"/>
      <c r="U53" s="9"/>
      <c r="X53">
        <v>0.22</v>
      </c>
      <c r="AA53">
        <v>0.39</v>
      </c>
      <c r="AD53">
        <v>99.14</v>
      </c>
      <c r="AG53">
        <v>1389</v>
      </c>
      <c r="AH53">
        <v>27.98</v>
      </c>
      <c r="AI53">
        <v>224.1</v>
      </c>
      <c r="AJ53">
        <v>57.43</v>
      </c>
      <c r="AK53">
        <v>426.6</v>
      </c>
      <c r="AL53">
        <v>149.80000000000001</v>
      </c>
      <c r="AM53">
        <v>56.09</v>
      </c>
      <c r="AN53">
        <v>161.30000000000001</v>
      </c>
      <c r="AO53">
        <v>24.04</v>
      </c>
      <c r="AP53">
        <v>148.6</v>
      </c>
      <c r="AQ53">
        <v>27.29</v>
      </c>
      <c r="AR53">
        <v>73.12</v>
      </c>
      <c r="AS53">
        <v>9.5399999999999991</v>
      </c>
      <c r="AT53">
        <v>62.66</v>
      </c>
      <c r="AU53">
        <v>8.5399999999999991</v>
      </c>
      <c r="AV53">
        <v>8.82</v>
      </c>
      <c r="AW53">
        <v>16.27</v>
      </c>
      <c r="AX53">
        <v>15.36</v>
      </c>
      <c r="AY53">
        <v>127.4</v>
      </c>
      <c r="BA53">
        <v>426</v>
      </c>
      <c r="BB53" s="9">
        <v>715</v>
      </c>
      <c r="BG53">
        <f t="shared" si="5"/>
        <v>118.05907172995781</v>
      </c>
      <c r="BH53">
        <f t="shared" si="6"/>
        <v>366.1764705882353</v>
      </c>
      <c r="BI53">
        <f t="shared" si="7"/>
        <v>604.52631578947364</v>
      </c>
      <c r="BJ53">
        <f t="shared" si="8"/>
        <v>913.49036402569595</v>
      </c>
      <c r="BK53">
        <f t="shared" si="9"/>
        <v>979.08496732026151</v>
      </c>
      <c r="BL53">
        <f t="shared" si="10"/>
        <v>967.06896551724139</v>
      </c>
      <c r="BM53">
        <f t="shared" si="11"/>
        <v>784.9148418491485</v>
      </c>
      <c r="BN53">
        <f t="shared" si="12"/>
        <v>642.78074866310158</v>
      </c>
      <c r="BO53">
        <f t="shared" si="13"/>
        <v>585.03937007874015</v>
      </c>
      <c r="BP53">
        <f t="shared" si="14"/>
        <v>482.15547703180215</v>
      </c>
      <c r="BQ53">
        <f t="shared" si="15"/>
        <v>441.81268882175226</v>
      </c>
      <c r="BR53">
        <f t="shared" si="16"/>
        <v>374.11764705882354</v>
      </c>
      <c r="BS53">
        <f t="shared" si="17"/>
        <v>368.58823529411762</v>
      </c>
      <c r="BT53">
        <f t="shared" si="18"/>
        <v>336.22047244094489</v>
      </c>
      <c r="BU53">
        <f t="shared" si="25"/>
        <v>2.6563109550661421</v>
      </c>
      <c r="BV53">
        <f t="shared" si="26"/>
        <v>8.2931786009614719</v>
      </c>
      <c r="BX53">
        <f t="shared" si="27"/>
        <v>0.32030070529991744</v>
      </c>
      <c r="BZ53" t="s">
        <v>173</v>
      </c>
      <c r="CA53" t="s">
        <v>173</v>
      </c>
      <c r="CB53" t="s">
        <v>173</v>
      </c>
      <c r="CC53" t="s">
        <v>173</v>
      </c>
      <c r="CD53" t="s">
        <v>173</v>
      </c>
      <c r="CE53" t="s">
        <v>173</v>
      </c>
      <c r="CF53">
        <v>4.4999999999999997E-3</v>
      </c>
      <c r="CG53" s="31">
        <v>0</v>
      </c>
      <c r="CH53" t="s">
        <v>173</v>
      </c>
      <c r="CI53">
        <v>0</v>
      </c>
      <c r="CJ53">
        <v>4.9000000000000002E-2</v>
      </c>
      <c r="CK53">
        <v>7.0999999999999994E-2</v>
      </c>
      <c r="CL53">
        <v>0</v>
      </c>
      <c r="CM53">
        <v>1.1299999999999999E-2</v>
      </c>
      <c r="CN53">
        <v>0</v>
      </c>
      <c r="CO53" t="s">
        <v>173</v>
      </c>
      <c r="CP53" t="s">
        <v>173</v>
      </c>
      <c r="CQ53" t="s">
        <v>173</v>
      </c>
      <c r="CR53" t="s">
        <v>173</v>
      </c>
      <c r="CS53" t="s">
        <v>173</v>
      </c>
      <c r="CT53" t="s">
        <v>173</v>
      </c>
      <c r="CU53">
        <v>2.4799999999999999E-2</v>
      </c>
      <c r="CV53">
        <v>1.78E-2</v>
      </c>
      <c r="CW53" t="s">
        <v>173</v>
      </c>
      <c r="CX53">
        <v>0.1585</v>
      </c>
      <c r="CY53">
        <v>0.66310000000000002</v>
      </c>
      <c r="CZ53" t="s">
        <v>173</v>
      </c>
      <c r="DA53" t="s">
        <v>173</v>
      </c>
      <c r="DB53" t="s">
        <v>173</v>
      </c>
      <c r="DC53" s="24">
        <f t="shared" si="0"/>
        <v>4.9000000000000002E-2</v>
      </c>
      <c r="DD53" s="24">
        <f t="shared" si="1"/>
        <v>4.4999999999999997E-3</v>
      </c>
      <c r="DE53" s="24">
        <f t="shared" si="3"/>
        <v>8.2299999999999998E-2</v>
      </c>
      <c r="DG53" s="5">
        <f t="shared" si="2"/>
        <v>157.48299319727892</v>
      </c>
    </row>
    <row r="54" spans="1:111" ht="15" thickBot="1">
      <c r="C54" t="s">
        <v>106</v>
      </c>
      <c r="D54" s="9" t="s">
        <v>110</v>
      </c>
      <c r="F54" s="9"/>
      <c r="G54" s="14">
        <v>33.36</v>
      </c>
      <c r="H54">
        <v>4.8099999999999996</v>
      </c>
      <c r="I54" s="16">
        <v>5.39</v>
      </c>
      <c r="K54">
        <v>18.632999999999999</v>
      </c>
      <c r="M54">
        <v>0.68</v>
      </c>
      <c r="N54">
        <v>0.74</v>
      </c>
      <c r="O54">
        <v>31.78</v>
      </c>
      <c r="Q54" s="9"/>
      <c r="R54" s="9"/>
      <c r="S54" s="9"/>
      <c r="T54" s="9"/>
      <c r="U54" s="9"/>
      <c r="X54">
        <v>0.36</v>
      </c>
      <c r="AA54">
        <v>0.45</v>
      </c>
      <c r="AD54">
        <v>98.27</v>
      </c>
      <c r="AG54">
        <v>2065</v>
      </c>
      <c r="AH54">
        <v>46.72</v>
      </c>
      <c r="AI54">
        <v>329.8</v>
      </c>
      <c r="AJ54">
        <v>76.62</v>
      </c>
      <c r="AK54">
        <v>531.79999999999995</v>
      </c>
      <c r="AL54">
        <v>168.8</v>
      </c>
      <c r="AM54">
        <v>64.930000000000007</v>
      </c>
      <c r="AN54">
        <v>192.5</v>
      </c>
      <c r="AO54">
        <v>27.16</v>
      </c>
      <c r="AP54">
        <v>172.5</v>
      </c>
      <c r="AQ54">
        <v>32.28</v>
      </c>
      <c r="AR54">
        <v>88.67</v>
      </c>
      <c r="AS54">
        <v>12.24</v>
      </c>
      <c r="AT54">
        <v>75.73</v>
      </c>
      <c r="AU54">
        <v>10.33</v>
      </c>
      <c r="AV54">
        <v>14.37</v>
      </c>
      <c r="AW54">
        <v>31.63</v>
      </c>
      <c r="AX54">
        <v>14.51</v>
      </c>
      <c r="AY54">
        <v>400.1</v>
      </c>
      <c r="BA54">
        <v>1468</v>
      </c>
      <c r="BB54" s="9">
        <v>812</v>
      </c>
      <c r="BG54">
        <f t="shared" si="5"/>
        <v>197.13080168776372</v>
      </c>
      <c r="BH54">
        <f t="shared" si="6"/>
        <v>538.88888888888891</v>
      </c>
      <c r="BI54">
        <f t="shared" si="7"/>
        <v>806.52631578947376</v>
      </c>
      <c r="BJ54">
        <f t="shared" si="8"/>
        <v>1138.7580299785866</v>
      </c>
      <c r="BK54">
        <f t="shared" si="9"/>
        <v>1103.2679738562092</v>
      </c>
      <c r="BL54">
        <f t="shared" si="10"/>
        <v>1119.4827586206898</v>
      </c>
      <c r="BM54">
        <f t="shared" si="11"/>
        <v>936.7396593673966</v>
      </c>
      <c r="BN54">
        <f t="shared" si="12"/>
        <v>726.20320855614966</v>
      </c>
      <c r="BO54">
        <f t="shared" si="13"/>
        <v>679.1338582677165</v>
      </c>
      <c r="BP54">
        <f t="shared" si="14"/>
        <v>570.31802120141344</v>
      </c>
      <c r="BQ54">
        <f t="shared" si="15"/>
        <v>535.77039274924471</v>
      </c>
      <c r="BR54">
        <f t="shared" si="16"/>
        <v>480.00000000000006</v>
      </c>
      <c r="BS54">
        <f t="shared" si="17"/>
        <v>445.47058823529409</v>
      </c>
      <c r="BT54">
        <f t="shared" si="18"/>
        <v>406.69291338582678</v>
      </c>
      <c r="BU54">
        <f t="shared" si="25"/>
        <v>2.4766348284108752</v>
      </c>
      <c r="BV54">
        <f t="shared" si="26"/>
        <v>5.5966290625839381</v>
      </c>
      <c r="BX54">
        <f t="shared" si="27"/>
        <v>0.44252259721272724</v>
      </c>
      <c r="BZ54" t="s">
        <v>173</v>
      </c>
      <c r="CA54" t="s">
        <v>173</v>
      </c>
      <c r="CB54" t="s">
        <v>173</v>
      </c>
      <c r="CC54" t="s">
        <v>173</v>
      </c>
      <c r="CD54" t="s">
        <v>173</v>
      </c>
      <c r="CE54" t="s">
        <v>173</v>
      </c>
      <c r="CF54">
        <v>7.4000000000000003E-3</v>
      </c>
      <c r="CG54" s="31">
        <v>0</v>
      </c>
      <c r="CH54" t="s">
        <v>173</v>
      </c>
      <c r="CI54">
        <v>0</v>
      </c>
      <c r="CJ54">
        <v>8.4699999999999998E-2</v>
      </c>
      <c r="CK54">
        <v>0.1235</v>
      </c>
      <c r="CL54">
        <v>0</v>
      </c>
      <c r="CM54">
        <v>1.2500000000000001E-2</v>
      </c>
      <c r="CN54">
        <v>0</v>
      </c>
      <c r="CO54" t="s">
        <v>173</v>
      </c>
      <c r="CP54" t="s">
        <v>173</v>
      </c>
      <c r="CQ54" t="s">
        <v>173</v>
      </c>
      <c r="CR54" t="s">
        <v>173</v>
      </c>
      <c r="CS54" t="s">
        <v>173</v>
      </c>
      <c r="CT54" t="s">
        <v>173</v>
      </c>
      <c r="CU54">
        <v>1.7600000000000001E-2</v>
      </c>
      <c r="CV54">
        <v>2.4299999999999999E-2</v>
      </c>
      <c r="CW54" t="s">
        <v>173</v>
      </c>
      <c r="CX54">
        <v>0.13400000000000001</v>
      </c>
      <c r="CY54">
        <v>0.59589999999999999</v>
      </c>
      <c r="CZ54" t="s">
        <v>173</v>
      </c>
      <c r="DA54" t="s">
        <v>173</v>
      </c>
      <c r="DB54" t="s">
        <v>173</v>
      </c>
      <c r="DC54" s="24">
        <f t="shared" si="0"/>
        <v>8.4699999999999998E-2</v>
      </c>
      <c r="DD54" s="24">
        <f t="shared" si="1"/>
        <v>7.4000000000000003E-3</v>
      </c>
      <c r="DE54" s="24">
        <f t="shared" si="3"/>
        <v>0.13600000000000001</v>
      </c>
      <c r="DG54" s="5">
        <f t="shared" si="2"/>
        <v>143.70215727209464</v>
      </c>
    </row>
    <row r="55" spans="1:111" ht="15" thickBot="1">
      <c r="C55" t="s">
        <v>106</v>
      </c>
      <c r="D55" s="9" t="s">
        <v>110</v>
      </c>
      <c r="F55" s="16"/>
      <c r="G55" s="14">
        <v>33.869999999999997</v>
      </c>
      <c r="H55">
        <v>4.37</v>
      </c>
      <c r="I55" s="16">
        <v>5.36</v>
      </c>
      <c r="K55">
        <v>18.759646815705434</v>
      </c>
      <c r="M55">
        <v>0.67</v>
      </c>
      <c r="N55">
        <v>0.81</v>
      </c>
      <c r="O55">
        <v>32.35</v>
      </c>
      <c r="T55" s="9"/>
      <c r="U55" s="9"/>
      <c r="X55">
        <v>0.32</v>
      </c>
      <c r="AA55">
        <v>0.38</v>
      </c>
      <c r="AD55">
        <v>98.97</v>
      </c>
      <c r="AG55">
        <v>2087</v>
      </c>
      <c r="AH55">
        <v>47.38</v>
      </c>
      <c r="AI55">
        <v>343.3</v>
      </c>
      <c r="AJ55">
        <v>79.47</v>
      </c>
      <c r="AK55">
        <v>538.9</v>
      </c>
      <c r="AL55">
        <v>173.1</v>
      </c>
      <c r="AM55">
        <v>64.900000000000006</v>
      </c>
      <c r="AN55">
        <v>185.9</v>
      </c>
      <c r="AO55">
        <v>27.51</v>
      </c>
      <c r="AP55">
        <v>175.9</v>
      </c>
      <c r="AQ55">
        <v>32.520000000000003</v>
      </c>
      <c r="AR55">
        <v>90.1</v>
      </c>
      <c r="AS55">
        <v>12.41</v>
      </c>
      <c r="AT55">
        <v>78.930000000000007</v>
      </c>
      <c r="AU55">
        <v>10.02</v>
      </c>
      <c r="AV55">
        <v>14.3</v>
      </c>
      <c r="AW55">
        <v>33.57</v>
      </c>
      <c r="AX55">
        <v>14.88</v>
      </c>
      <c r="AY55">
        <v>538.29999999999995</v>
      </c>
      <c r="BA55">
        <v>1624</v>
      </c>
      <c r="BB55" s="9">
        <v>813</v>
      </c>
      <c r="BG55">
        <f t="shared" si="5"/>
        <v>199.91561181434602</v>
      </c>
      <c r="BH55">
        <f t="shared" si="6"/>
        <v>560.94771241830074</v>
      </c>
      <c r="BI55">
        <f t="shared" si="7"/>
        <v>836.52631578947364</v>
      </c>
      <c r="BJ55">
        <f t="shared" si="8"/>
        <v>1153.9614561027836</v>
      </c>
      <c r="BK55">
        <f t="shared" si="9"/>
        <v>1131.3725490196077</v>
      </c>
      <c r="BL55">
        <f t="shared" si="10"/>
        <v>1118.9655172413793</v>
      </c>
      <c r="BM55">
        <f t="shared" si="11"/>
        <v>904.62287104622874</v>
      </c>
      <c r="BN55">
        <f t="shared" si="12"/>
        <v>735.56149732620315</v>
      </c>
      <c r="BO55">
        <f t="shared" si="13"/>
        <v>692.51968503937007</v>
      </c>
      <c r="BP55">
        <f t="shared" si="14"/>
        <v>574.55830388692584</v>
      </c>
      <c r="BQ55">
        <f t="shared" si="15"/>
        <v>544.41087613293041</v>
      </c>
      <c r="BR55">
        <f t="shared" si="16"/>
        <v>486.66666666666669</v>
      </c>
      <c r="BS55">
        <f t="shared" si="17"/>
        <v>464.29411764705884</v>
      </c>
      <c r="BT55">
        <f t="shared" si="18"/>
        <v>394.48818897637796</v>
      </c>
      <c r="BU55">
        <f t="shared" si="25"/>
        <v>2.4367583090502127</v>
      </c>
      <c r="BV55">
        <f t="shared" si="26"/>
        <v>5.6592506145556563</v>
      </c>
      <c r="BX55">
        <f t="shared" si="27"/>
        <v>0.43057967830278504</v>
      </c>
      <c r="BZ55" t="s">
        <v>173</v>
      </c>
      <c r="CA55" t="s">
        <v>173</v>
      </c>
      <c r="CB55" t="s">
        <v>173</v>
      </c>
      <c r="CC55" t="s">
        <v>173</v>
      </c>
      <c r="CD55" t="s">
        <v>173</v>
      </c>
      <c r="CE55" t="s">
        <v>173</v>
      </c>
      <c r="CF55">
        <v>6.4999999999999997E-3</v>
      </c>
      <c r="CG55" s="31">
        <v>0</v>
      </c>
      <c r="CH55" t="s">
        <v>173</v>
      </c>
      <c r="CI55">
        <v>0</v>
      </c>
      <c r="CJ55">
        <v>7.7299999999999994E-2</v>
      </c>
      <c r="CK55">
        <v>8.09E-2</v>
      </c>
      <c r="CL55">
        <v>0</v>
      </c>
      <c r="CM55">
        <v>3.9399999999999998E-2</v>
      </c>
      <c r="CN55">
        <v>0</v>
      </c>
      <c r="CO55" t="s">
        <v>173</v>
      </c>
      <c r="CP55" t="s">
        <v>173</v>
      </c>
      <c r="CQ55" t="s">
        <v>173</v>
      </c>
      <c r="CR55" t="s">
        <v>173</v>
      </c>
      <c r="CS55" t="s">
        <v>173</v>
      </c>
      <c r="CT55" t="s">
        <v>173</v>
      </c>
      <c r="CU55">
        <v>1.9099999999999999E-2</v>
      </c>
      <c r="CV55">
        <v>1.47E-2</v>
      </c>
      <c r="CW55" t="s">
        <v>173</v>
      </c>
      <c r="CX55">
        <v>0.14649999999999999</v>
      </c>
      <c r="CY55">
        <v>0.61550000000000005</v>
      </c>
      <c r="CZ55" t="s">
        <v>173</v>
      </c>
      <c r="DA55" t="s">
        <v>173</v>
      </c>
      <c r="DB55" t="s">
        <v>173</v>
      </c>
      <c r="DC55" s="24">
        <f t="shared" si="0"/>
        <v>7.7299999999999994E-2</v>
      </c>
      <c r="DD55" s="24">
        <f t="shared" si="1"/>
        <v>6.4999999999999997E-3</v>
      </c>
      <c r="DE55" s="24">
        <f t="shared" si="3"/>
        <v>0.12029999999999999</v>
      </c>
      <c r="DG55" s="5">
        <f t="shared" si="2"/>
        <v>145.94405594405595</v>
      </c>
    </row>
    <row r="56" spans="1:111" ht="15" thickBot="1">
      <c r="C56" t="s">
        <v>106</v>
      </c>
      <c r="D56" s="9" t="s">
        <v>110</v>
      </c>
      <c r="G56" s="14">
        <v>33.78</v>
      </c>
      <c r="H56">
        <v>4.54</v>
      </c>
      <c r="I56" s="16">
        <v>5.38</v>
      </c>
      <c r="K56">
        <v>18.984582628843384</v>
      </c>
      <c r="M56">
        <v>0.61</v>
      </c>
      <c r="N56">
        <v>0.84</v>
      </c>
      <c r="O56">
        <v>32.29</v>
      </c>
      <c r="X56">
        <v>0.31</v>
      </c>
      <c r="AA56">
        <v>0.4</v>
      </c>
      <c r="AD56">
        <v>99.24</v>
      </c>
      <c r="AG56">
        <v>1417</v>
      </c>
      <c r="AH56">
        <v>46.94</v>
      </c>
      <c r="AI56">
        <v>326.60000000000002</v>
      </c>
      <c r="AJ56">
        <v>76.260000000000005</v>
      </c>
      <c r="AK56">
        <v>504.3</v>
      </c>
      <c r="AL56">
        <v>147.9</v>
      </c>
      <c r="AM56">
        <v>54.74</v>
      </c>
      <c r="AN56">
        <v>147.19999999999999</v>
      </c>
      <c r="AO56">
        <v>21.24</v>
      </c>
      <c r="AP56">
        <v>131.80000000000001</v>
      </c>
      <c r="AQ56">
        <v>23.6</v>
      </c>
      <c r="AR56">
        <v>64.150000000000006</v>
      </c>
      <c r="AS56">
        <v>8.64</v>
      </c>
      <c r="AT56">
        <v>55.81</v>
      </c>
      <c r="AU56">
        <v>7.49</v>
      </c>
      <c r="AV56">
        <v>7.14</v>
      </c>
      <c r="AW56">
        <v>27.72</v>
      </c>
      <c r="AX56">
        <v>12.93</v>
      </c>
      <c r="AY56">
        <v>343.9</v>
      </c>
      <c r="BA56">
        <v>1191</v>
      </c>
      <c r="BB56" s="9">
        <v>613</v>
      </c>
      <c r="BG56">
        <f t="shared" si="5"/>
        <v>198.05907172995779</v>
      </c>
      <c r="BH56">
        <f t="shared" si="6"/>
        <v>533.66013071895429</v>
      </c>
      <c r="BI56">
        <f t="shared" si="7"/>
        <v>802.73684210526324</v>
      </c>
      <c r="BJ56">
        <f t="shared" si="8"/>
        <v>1079.8715203426125</v>
      </c>
      <c r="BK56">
        <f t="shared" si="9"/>
        <v>966.66666666666674</v>
      </c>
      <c r="BL56">
        <f t="shared" si="10"/>
        <v>943.79310344827582</v>
      </c>
      <c r="BM56">
        <f t="shared" si="11"/>
        <v>716.30170316301701</v>
      </c>
      <c r="BN56">
        <f t="shared" si="12"/>
        <v>567.91443850267376</v>
      </c>
      <c r="BO56">
        <f t="shared" si="13"/>
        <v>518.89763779527561</v>
      </c>
      <c r="BP56">
        <f t="shared" si="14"/>
        <v>416.96113074204953</v>
      </c>
      <c r="BQ56">
        <f t="shared" si="15"/>
        <v>387.61329305135951</v>
      </c>
      <c r="BR56">
        <f t="shared" si="16"/>
        <v>338.82352941176475</v>
      </c>
      <c r="BS56">
        <f t="shared" si="17"/>
        <v>328.29411764705884</v>
      </c>
      <c r="BT56">
        <f t="shared" si="18"/>
        <v>294.88188976377955</v>
      </c>
      <c r="BU56">
        <f t="shared" si="25"/>
        <v>2.9445141253060982</v>
      </c>
      <c r="BV56">
        <f t="shared" si="26"/>
        <v>4.8806987643800603</v>
      </c>
      <c r="BX56">
        <f t="shared" si="27"/>
        <v>0.60329765622814591</v>
      </c>
      <c r="BZ56" t="s">
        <v>173</v>
      </c>
      <c r="CA56" t="s">
        <v>173</v>
      </c>
      <c r="CB56" t="s">
        <v>173</v>
      </c>
      <c r="CC56" t="s">
        <v>173</v>
      </c>
      <c r="CD56" t="s">
        <v>173</v>
      </c>
      <c r="CE56" t="s">
        <v>173</v>
      </c>
      <c r="CF56">
        <v>6.3E-3</v>
      </c>
      <c r="CG56" s="31">
        <v>0</v>
      </c>
      <c r="CH56" t="s">
        <v>173</v>
      </c>
      <c r="CI56">
        <v>0</v>
      </c>
      <c r="CJ56">
        <v>8.3000000000000004E-2</v>
      </c>
      <c r="CK56">
        <v>9.4299999999999995E-2</v>
      </c>
      <c r="CL56">
        <v>0</v>
      </c>
      <c r="CM56">
        <v>2.5000000000000001E-2</v>
      </c>
      <c r="CN56">
        <v>0</v>
      </c>
      <c r="CO56" t="s">
        <v>173</v>
      </c>
      <c r="CP56" t="s">
        <v>173</v>
      </c>
      <c r="CQ56" t="s">
        <v>173</v>
      </c>
      <c r="CR56" t="s">
        <v>173</v>
      </c>
      <c r="CS56" t="s">
        <v>173</v>
      </c>
      <c r="CT56" t="s">
        <v>173</v>
      </c>
      <c r="CU56">
        <v>1.9800000000000002E-2</v>
      </c>
      <c r="CV56">
        <v>1.7000000000000001E-2</v>
      </c>
      <c r="CW56" t="s">
        <v>173</v>
      </c>
      <c r="CX56">
        <v>0.13869999999999999</v>
      </c>
      <c r="CY56">
        <v>0.6159</v>
      </c>
      <c r="CZ56" t="s">
        <v>173</v>
      </c>
      <c r="DA56" t="s">
        <v>173</v>
      </c>
      <c r="DB56" t="s">
        <v>173</v>
      </c>
      <c r="DC56" s="24">
        <f t="shared" si="0"/>
        <v>8.3000000000000004E-2</v>
      </c>
      <c r="DD56" s="24">
        <f t="shared" si="1"/>
        <v>6.3E-3</v>
      </c>
      <c r="DE56" s="24">
        <f t="shared" si="3"/>
        <v>0.11929999999999999</v>
      </c>
      <c r="DG56" s="5">
        <f t="shared" si="2"/>
        <v>198.45938375350141</v>
      </c>
    </row>
    <row r="57" spans="1:111" ht="15" thickBot="1">
      <c r="C57" t="s">
        <v>106</v>
      </c>
      <c r="D57" s="9" t="s">
        <v>110</v>
      </c>
      <c r="G57" s="14">
        <v>33.409999999999997</v>
      </c>
      <c r="H57">
        <v>4.29</v>
      </c>
      <c r="I57" s="16">
        <v>5.35</v>
      </c>
      <c r="K57">
        <v>18.660675057924728</v>
      </c>
      <c r="M57">
        <v>0.63</v>
      </c>
      <c r="N57">
        <v>0.78</v>
      </c>
      <c r="O57">
        <v>32</v>
      </c>
      <c r="X57">
        <v>0.3</v>
      </c>
      <c r="AA57">
        <v>0.41</v>
      </c>
      <c r="AD57">
        <v>98.11</v>
      </c>
      <c r="AG57">
        <v>2180</v>
      </c>
      <c r="AH57">
        <v>51.87</v>
      </c>
      <c r="AI57">
        <v>333.3</v>
      </c>
      <c r="AJ57">
        <v>81.040000000000006</v>
      </c>
      <c r="AK57">
        <v>556.5</v>
      </c>
      <c r="AL57">
        <v>177.2</v>
      </c>
      <c r="AM57">
        <v>66.48</v>
      </c>
      <c r="AN57">
        <v>201.9</v>
      </c>
      <c r="AO57">
        <v>30.37</v>
      </c>
      <c r="AP57">
        <v>195.5</v>
      </c>
      <c r="AQ57">
        <v>37.03</v>
      </c>
      <c r="AR57">
        <v>99.48</v>
      </c>
      <c r="AS57">
        <v>13.88</v>
      </c>
      <c r="AT57">
        <v>88.85</v>
      </c>
      <c r="AU57">
        <v>11.64</v>
      </c>
      <c r="AV57">
        <v>11.89</v>
      </c>
      <c r="AW57">
        <v>31.39</v>
      </c>
      <c r="AX57">
        <v>13.41</v>
      </c>
      <c r="AY57">
        <v>539.70000000000005</v>
      </c>
      <c r="BA57">
        <v>1526</v>
      </c>
      <c r="BB57" s="9">
        <v>920</v>
      </c>
      <c r="BG57">
        <f t="shared" si="5"/>
        <v>218.86075949367088</v>
      </c>
      <c r="BH57">
        <f t="shared" si="6"/>
        <v>544.60784313725492</v>
      </c>
      <c r="BI57">
        <f t="shared" si="7"/>
        <v>853.0526315789474</v>
      </c>
      <c r="BJ57">
        <f t="shared" si="8"/>
        <v>1191.6488222698072</v>
      </c>
      <c r="BK57">
        <f t="shared" si="9"/>
        <v>1158.1699346405228</v>
      </c>
      <c r="BL57">
        <f t="shared" si="10"/>
        <v>1146.2068965517242</v>
      </c>
      <c r="BM57">
        <f t="shared" si="11"/>
        <v>982.48175182481759</v>
      </c>
      <c r="BN57">
        <f t="shared" si="12"/>
        <v>812.0320855614973</v>
      </c>
      <c r="BO57">
        <f t="shared" si="13"/>
        <v>769.6850393700787</v>
      </c>
      <c r="BP57">
        <f t="shared" si="14"/>
        <v>654.2402826855124</v>
      </c>
      <c r="BQ57">
        <f t="shared" si="15"/>
        <v>601.08761329305139</v>
      </c>
      <c r="BR57">
        <f t="shared" si="16"/>
        <v>544.31372549019613</v>
      </c>
      <c r="BS57">
        <f t="shared" si="17"/>
        <v>522.64705882352939</v>
      </c>
      <c r="BT57">
        <f t="shared" si="18"/>
        <v>458.26771653543312</v>
      </c>
      <c r="BU57">
        <f t="shared" si="25"/>
        <v>2.2159694866504096</v>
      </c>
      <c r="BV57">
        <f t="shared" si="26"/>
        <v>5.2918117314402142</v>
      </c>
      <c r="BX57">
        <f t="shared" si="27"/>
        <v>0.41875440758496402</v>
      </c>
      <c r="BZ57" t="s">
        <v>173</v>
      </c>
      <c r="CA57" t="s">
        <v>173</v>
      </c>
      <c r="CB57" t="s">
        <v>173</v>
      </c>
      <c r="CC57" t="s">
        <v>173</v>
      </c>
      <c r="CD57" t="s">
        <v>173</v>
      </c>
      <c r="CE57" t="s">
        <v>173</v>
      </c>
      <c r="CF57">
        <v>6.1999999999999998E-3</v>
      </c>
      <c r="CG57" s="31">
        <v>0</v>
      </c>
      <c r="CH57" t="s">
        <v>173</v>
      </c>
      <c r="CI57">
        <v>0</v>
      </c>
      <c r="CJ57">
        <v>8.09E-2</v>
      </c>
      <c r="CK57">
        <v>7.5899999999999995E-2</v>
      </c>
      <c r="CL57">
        <v>0</v>
      </c>
      <c r="CM57">
        <v>3.5400000000000001E-2</v>
      </c>
      <c r="CN57">
        <v>0</v>
      </c>
      <c r="CO57" t="s">
        <v>173</v>
      </c>
      <c r="CP57" t="s">
        <v>173</v>
      </c>
      <c r="CQ57" t="s">
        <v>173</v>
      </c>
      <c r="CR57" t="s">
        <v>173</v>
      </c>
      <c r="CS57" t="s">
        <v>173</v>
      </c>
      <c r="CT57" t="s">
        <v>173</v>
      </c>
      <c r="CU57">
        <v>1.8599999999999998E-2</v>
      </c>
      <c r="CV57">
        <v>1.47E-2</v>
      </c>
      <c r="CW57" t="s">
        <v>173</v>
      </c>
      <c r="CX57">
        <v>0.14630000000000001</v>
      </c>
      <c r="CY57">
        <v>0.62209999999999999</v>
      </c>
      <c r="CZ57" t="s">
        <v>173</v>
      </c>
      <c r="DA57" t="s">
        <v>173</v>
      </c>
      <c r="DB57" t="s">
        <v>173</v>
      </c>
      <c r="DC57" s="24">
        <f t="shared" si="0"/>
        <v>8.09E-2</v>
      </c>
      <c r="DD57" s="24">
        <f t="shared" si="1"/>
        <v>6.1999999999999998E-3</v>
      </c>
      <c r="DE57" s="24">
        <f t="shared" si="3"/>
        <v>0.1113</v>
      </c>
      <c r="DG57" s="5">
        <f t="shared" si="2"/>
        <v>183.34735071488646</v>
      </c>
    </row>
    <row r="58" spans="1:111" ht="15" thickBot="1">
      <c r="C58" t="s">
        <v>107</v>
      </c>
      <c r="D58" s="9" t="s">
        <v>110</v>
      </c>
      <c r="G58" s="16">
        <v>33.72</v>
      </c>
      <c r="H58">
        <v>3.7</v>
      </c>
      <c r="I58">
        <v>4.54</v>
      </c>
      <c r="K58">
        <v>20.154248857160749</v>
      </c>
      <c r="M58">
        <v>0.55000000000000004</v>
      </c>
      <c r="N58">
        <v>0.91</v>
      </c>
      <c r="O58">
        <v>32.19</v>
      </c>
      <c r="X58">
        <v>0.32</v>
      </c>
      <c r="AA58">
        <v>0.39</v>
      </c>
      <c r="AD58">
        <v>98.53</v>
      </c>
      <c r="AG58" s="9">
        <v>1650</v>
      </c>
      <c r="AH58">
        <v>29.41</v>
      </c>
      <c r="AI58">
        <v>244.9</v>
      </c>
      <c r="AJ58">
        <v>64.489999999999995</v>
      </c>
      <c r="AK58">
        <v>472.7</v>
      </c>
      <c r="AL58">
        <v>161.30000000000001</v>
      </c>
      <c r="AM58">
        <v>61.98</v>
      </c>
      <c r="AN58">
        <v>178.2</v>
      </c>
      <c r="AO58">
        <v>26.45</v>
      </c>
      <c r="AP58">
        <v>162.1</v>
      </c>
      <c r="AQ58">
        <v>29.26</v>
      </c>
      <c r="AR58">
        <v>78.400000000000006</v>
      </c>
      <c r="AS58">
        <v>10.71</v>
      </c>
      <c r="AT58">
        <v>67.88</v>
      </c>
      <c r="AU58">
        <v>8.8800000000000008</v>
      </c>
      <c r="AV58">
        <v>9.3000000000000007</v>
      </c>
      <c r="AW58">
        <v>27.74</v>
      </c>
      <c r="AX58">
        <v>21.54</v>
      </c>
      <c r="AY58">
        <v>241.2</v>
      </c>
      <c r="BA58">
        <v>643</v>
      </c>
      <c r="BB58">
        <v>769</v>
      </c>
      <c r="BG58">
        <f t="shared" si="5"/>
        <v>124.09282700421942</v>
      </c>
      <c r="BH58">
        <f t="shared" si="6"/>
        <v>400.16339869281046</v>
      </c>
      <c r="BI58">
        <f t="shared" si="7"/>
        <v>678.8421052631578</v>
      </c>
      <c r="BJ58">
        <f t="shared" si="8"/>
        <v>1012.20556745182</v>
      </c>
      <c r="BK58">
        <f t="shared" si="9"/>
        <v>1054.248366013072</v>
      </c>
      <c r="BL58">
        <f t="shared" si="10"/>
        <v>1068.6206896551723</v>
      </c>
      <c r="BM58">
        <f t="shared" si="11"/>
        <v>867.15328467153279</v>
      </c>
      <c r="BN58">
        <f t="shared" si="12"/>
        <v>707.21925133689831</v>
      </c>
      <c r="BO58">
        <f t="shared" si="13"/>
        <v>638.18897637795271</v>
      </c>
      <c r="BP58">
        <f t="shared" si="14"/>
        <v>516.96113074204948</v>
      </c>
      <c r="BQ58">
        <f t="shared" si="15"/>
        <v>473.71601208459214</v>
      </c>
      <c r="BR58">
        <f t="shared" si="16"/>
        <v>420.00000000000006</v>
      </c>
      <c r="BS58">
        <f t="shared" si="17"/>
        <v>399.29411764705878</v>
      </c>
      <c r="BT58">
        <f t="shared" si="18"/>
        <v>349.60629921259846</v>
      </c>
      <c r="BU58">
        <f t="shared" si="25"/>
        <v>2.6402802330910764</v>
      </c>
      <c r="BV58">
        <f t="shared" si="26"/>
        <v>8.4956430719176481</v>
      </c>
      <c r="BX58">
        <f t="shared" si="27"/>
        <v>0.31078050369353716</v>
      </c>
      <c r="BZ58" t="s">
        <v>173</v>
      </c>
      <c r="CA58" t="s">
        <v>173</v>
      </c>
      <c r="CB58" t="s">
        <v>173</v>
      </c>
      <c r="CC58" t="s">
        <v>173</v>
      </c>
      <c r="CD58" t="s">
        <v>173</v>
      </c>
      <c r="CE58" t="s">
        <v>173</v>
      </c>
      <c r="CF58">
        <v>6.6E-3</v>
      </c>
      <c r="CG58" s="31">
        <v>0</v>
      </c>
      <c r="CH58" t="s">
        <v>173</v>
      </c>
      <c r="CI58">
        <v>0</v>
      </c>
      <c r="CJ58">
        <v>7.2800000000000004E-2</v>
      </c>
      <c r="CK58">
        <v>4.8800000000000003E-2</v>
      </c>
      <c r="CL58">
        <v>0</v>
      </c>
      <c r="CM58">
        <v>4.0099999999999997E-2</v>
      </c>
      <c r="CN58">
        <v>0</v>
      </c>
      <c r="CO58" t="s">
        <v>173</v>
      </c>
      <c r="CP58" t="s">
        <v>173</v>
      </c>
      <c r="CQ58" t="s">
        <v>173</v>
      </c>
      <c r="CR58" t="s">
        <v>173</v>
      </c>
      <c r="CS58" t="s">
        <v>173</v>
      </c>
      <c r="CT58" t="s">
        <v>173</v>
      </c>
      <c r="CU58">
        <v>2.1600000000000001E-2</v>
      </c>
      <c r="CV58">
        <v>9.7000000000000003E-3</v>
      </c>
      <c r="CW58" t="s">
        <v>173</v>
      </c>
      <c r="CX58">
        <v>0.1147</v>
      </c>
      <c r="CY58">
        <v>0.68569999999999998</v>
      </c>
      <c r="CZ58" t="s">
        <v>173</v>
      </c>
      <c r="DA58" t="s">
        <v>173</v>
      </c>
      <c r="DB58" t="s">
        <v>173</v>
      </c>
      <c r="DC58" s="24">
        <f t="shared" si="0"/>
        <v>7.2800000000000004E-2</v>
      </c>
      <c r="DD58" s="24">
        <f t="shared" si="1"/>
        <v>6.6E-3</v>
      </c>
      <c r="DE58" s="24">
        <f t="shared" si="3"/>
        <v>8.8900000000000007E-2</v>
      </c>
      <c r="DG58" s="5">
        <f t="shared" si="2"/>
        <v>177.41935483870967</v>
      </c>
    </row>
    <row r="59" spans="1:111" ht="15" thickBot="1">
      <c r="C59" t="s">
        <v>108</v>
      </c>
      <c r="D59" s="9" t="s">
        <v>110</v>
      </c>
      <c r="G59" s="14">
        <v>34.79</v>
      </c>
      <c r="H59">
        <v>2.2200000000000002</v>
      </c>
      <c r="I59" s="16">
        <v>4.22</v>
      </c>
      <c r="K59">
        <v>20.982012649508423</v>
      </c>
      <c r="M59">
        <v>0.44</v>
      </c>
      <c r="N59">
        <v>0.88</v>
      </c>
      <c r="O59">
        <v>31.87</v>
      </c>
      <c r="X59">
        <v>0.15</v>
      </c>
      <c r="AA59">
        <v>0.32</v>
      </c>
      <c r="AD59">
        <v>98.21</v>
      </c>
      <c r="AG59" s="12">
        <v>798</v>
      </c>
      <c r="AH59">
        <v>29.11</v>
      </c>
      <c r="AI59">
        <v>258.60000000000002</v>
      </c>
      <c r="AJ59">
        <v>61.24</v>
      </c>
      <c r="AK59">
        <v>420.7</v>
      </c>
      <c r="AL59">
        <v>137.1</v>
      </c>
      <c r="AM59">
        <v>54.48</v>
      </c>
      <c r="AN59">
        <v>131.4</v>
      </c>
      <c r="AO59">
        <v>18.12</v>
      </c>
      <c r="AP59">
        <v>106.4</v>
      </c>
      <c r="AQ59">
        <v>18.28</v>
      </c>
      <c r="AR59">
        <v>48.67</v>
      </c>
      <c r="AS59">
        <v>6.39</v>
      </c>
      <c r="AT59">
        <v>41.37</v>
      </c>
      <c r="AU59">
        <v>5.41</v>
      </c>
      <c r="AV59">
        <v>3.03</v>
      </c>
      <c r="AW59">
        <v>11.89</v>
      </c>
      <c r="AX59">
        <v>10.27</v>
      </c>
      <c r="AY59">
        <v>73.680000000000007</v>
      </c>
      <c r="BA59">
        <v>405</v>
      </c>
      <c r="BB59" s="12">
        <v>498</v>
      </c>
      <c r="BG59">
        <f t="shared" si="5"/>
        <v>122.82700421940929</v>
      </c>
      <c r="BH59">
        <f t="shared" si="6"/>
        <v>422.54901960784321</v>
      </c>
      <c r="BI59">
        <f t="shared" si="7"/>
        <v>644.63157894736844</v>
      </c>
      <c r="BJ59">
        <f t="shared" si="8"/>
        <v>900.85653104925041</v>
      </c>
      <c r="BK59">
        <f t="shared" si="9"/>
        <v>896.07843137254895</v>
      </c>
      <c r="BL59">
        <f t="shared" si="10"/>
        <v>939.31034482758605</v>
      </c>
      <c r="BM59">
        <f t="shared" si="11"/>
        <v>639.4160583941607</v>
      </c>
      <c r="BN59">
        <f t="shared" si="12"/>
        <v>484.49197860962568</v>
      </c>
      <c r="BO59">
        <f t="shared" si="13"/>
        <v>418.89763779527561</v>
      </c>
      <c r="BP59">
        <f t="shared" si="14"/>
        <v>322.96819787985868</v>
      </c>
      <c r="BQ59">
        <f t="shared" si="15"/>
        <v>294.0785498489426</v>
      </c>
      <c r="BR59">
        <f t="shared" si="16"/>
        <v>250.58823529411765</v>
      </c>
      <c r="BS59">
        <f t="shared" si="17"/>
        <v>243.35294117647055</v>
      </c>
      <c r="BT59">
        <f t="shared" si="18"/>
        <v>212.99212598425197</v>
      </c>
      <c r="BU59">
        <f t="shared" si="25"/>
        <v>3.6822173878011446</v>
      </c>
      <c r="BV59">
        <f t="shared" si="26"/>
        <v>7.2954513306524937</v>
      </c>
      <c r="BX59">
        <f t="shared" si="27"/>
        <v>0.50472783943194544</v>
      </c>
      <c r="BZ59" t="s">
        <v>173</v>
      </c>
      <c r="CA59" t="s">
        <v>173</v>
      </c>
      <c r="CB59" t="s">
        <v>173</v>
      </c>
      <c r="CC59" t="s">
        <v>173</v>
      </c>
      <c r="CD59" t="s">
        <v>173</v>
      </c>
      <c r="CE59" t="s">
        <v>173</v>
      </c>
      <c r="CF59">
        <v>3.0999999999999999E-3</v>
      </c>
      <c r="CG59" s="31">
        <v>0</v>
      </c>
      <c r="CH59" t="s">
        <v>173</v>
      </c>
      <c r="CI59">
        <v>0</v>
      </c>
      <c r="CJ59">
        <v>2.5899999999999999E-2</v>
      </c>
      <c r="CK59">
        <v>8.3299999999999999E-2</v>
      </c>
      <c r="CL59">
        <v>0</v>
      </c>
      <c r="CM59">
        <v>6.1000000000000004E-3</v>
      </c>
      <c r="CN59">
        <v>0</v>
      </c>
      <c r="CO59" t="s">
        <v>173</v>
      </c>
      <c r="CP59" t="s">
        <v>173</v>
      </c>
      <c r="CQ59" t="s">
        <v>173</v>
      </c>
      <c r="CR59" t="s">
        <v>173</v>
      </c>
      <c r="CS59" t="s">
        <v>173</v>
      </c>
      <c r="CT59" t="s">
        <v>173</v>
      </c>
      <c r="CU59">
        <v>2.1000000000000001E-2</v>
      </c>
      <c r="CV59">
        <v>1.6400000000000001E-2</v>
      </c>
      <c r="CW59" t="s">
        <v>173</v>
      </c>
      <c r="CX59">
        <v>0.14380000000000001</v>
      </c>
      <c r="CY59">
        <v>0.70030000000000003</v>
      </c>
      <c r="CZ59" t="s">
        <v>173</v>
      </c>
      <c r="DA59" t="s">
        <v>173</v>
      </c>
      <c r="DB59" t="s">
        <v>173</v>
      </c>
      <c r="DC59" s="24">
        <f t="shared" si="0"/>
        <v>2.5899999999999999E-2</v>
      </c>
      <c r="DD59" s="24">
        <f t="shared" si="1"/>
        <v>3.0999999999999999E-3</v>
      </c>
      <c r="DE59" s="24">
        <f t="shared" si="3"/>
        <v>8.9399999999999993E-2</v>
      </c>
      <c r="DG59" s="5">
        <f t="shared" si="2"/>
        <v>263.36633663366337</v>
      </c>
    </row>
    <row r="60" spans="1:111" ht="15" thickBot="1">
      <c r="C60" t="s">
        <v>108</v>
      </c>
      <c r="D60" s="9" t="s">
        <v>110</v>
      </c>
      <c r="G60" s="14">
        <v>34.94</v>
      </c>
      <c r="H60">
        <v>2.44</v>
      </c>
      <c r="I60" s="16">
        <v>4.38</v>
      </c>
      <c r="K60">
        <v>20.478156428079405</v>
      </c>
      <c r="M60">
        <v>0.42</v>
      </c>
      <c r="N60">
        <v>1.07</v>
      </c>
      <c r="O60">
        <v>31.78</v>
      </c>
      <c r="X60">
        <v>0.19</v>
      </c>
      <c r="AA60">
        <v>0.34</v>
      </c>
      <c r="AD60">
        <v>98.31</v>
      </c>
      <c r="AG60">
        <v>1165</v>
      </c>
      <c r="AH60">
        <v>46.55</v>
      </c>
      <c r="AI60">
        <v>285.8</v>
      </c>
      <c r="AJ60">
        <v>69.14</v>
      </c>
      <c r="AK60">
        <v>474</v>
      </c>
      <c r="AL60">
        <v>155.1</v>
      </c>
      <c r="AM60">
        <v>59.38</v>
      </c>
      <c r="AN60">
        <v>160.30000000000001</v>
      </c>
      <c r="AO60">
        <v>23.3</v>
      </c>
      <c r="AP60">
        <v>140.4</v>
      </c>
      <c r="AQ60">
        <v>25.99</v>
      </c>
      <c r="AR60">
        <v>72.25</v>
      </c>
      <c r="AS60">
        <v>9.57</v>
      </c>
      <c r="AT60">
        <v>63.08</v>
      </c>
      <c r="AU60">
        <v>8.1199999999999992</v>
      </c>
      <c r="AV60">
        <v>6.42</v>
      </c>
      <c r="AW60">
        <v>15.64</v>
      </c>
      <c r="AX60">
        <v>12.32</v>
      </c>
      <c r="AY60">
        <v>138.5</v>
      </c>
      <c r="BA60">
        <v>591</v>
      </c>
      <c r="BB60">
        <v>675</v>
      </c>
      <c r="BG60">
        <f t="shared" si="5"/>
        <v>196.41350210970464</v>
      </c>
      <c r="BH60">
        <f t="shared" si="6"/>
        <v>466.99346405228761</v>
      </c>
      <c r="BI60">
        <f t="shared" si="7"/>
        <v>727.78947368421052</v>
      </c>
      <c r="BJ60">
        <f t="shared" si="8"/>
        <v>1014.9892933618843</v>
      </c>
      <c r="BK60">
        <f t="shared" si="9"/>
        <v>1013.7254901960785</v>
      </c>
      <c r="BL60">
        <f t="shared" si="10"/>
        <v>1023.7931034482758</v>
      </c>
      <c r="BM60">
        <f t="shared" si="11"/>
        <v>780.04866180048668</v>
      </c>
      <c r="BN60">
        <f t="shared" si="12"/>
        <v>622.99465240641712</v>
      </c>
      <c r="BO60">
        <f t="shared" si="13"/>
        <v>552.75590551181108</v>
      </c>
      <c r="BP60">
        <f t="shared" si="14"/>
        <v>459.18727915194347</v>
      </c>
      <c r="BQ60">
        <f t="shared" si="15"/>
        <v>436.55589123867065</v>
      </c>
      <c r="BR60">
        <f t="shared" si="16"/>
        <v>375.29411764705884</v>
      </c>
      <c r="BS60">
        <f t="shared" si="17"/>
        <v>371.05882352941171</v>
      </c>
      <c r="BT60">
        <f t="shared" si="18"/>
        <v>319.6850393700787</v>
      </c>
      <c r="BU60">
        <f t="shared" si="25"/>
        <v>2.7319805537941244</v>
      </c>
      <c r="BV60">
        <f t="shared" si="26"/>
        <v>5.1611802615783153</v>
      </c>
      <c r="BX60">
        <f t="shared" si="27"/>
        <v>0.52933251995323072</v>
      </c>
      <c r="BZ60" t="s">
        <v>173</v>
      </c>
      <c r="CA60" t="s">
        <v>173</v>
      </c>
      <c r="CB60" t="s">
        <v>173</v>
      </c>
      <c r="CC60" t="s">
        <v>173</v>
      </c>
      <c r="CD60" t="s">
        <v>173</v>
      </c>
      <c r="CE60" t="s">
        <v>173</v>
      </c>
      <c r="CF60">
        <v>3.8999999999999998E-3</v>
      </c>
      <c r="CG60" s="31">
        <v>0</v>
      </c>
      <c r="CH60" t="s">
        <v>173</v>
      </c>
      <c r="CI60">
        <v>0</v>
      </c>
      <c r="CJ60">
        <v>2.0899999999999998E-2</v>
      </c>
      <c r="CK60">
        <v>0.1085</v>
      </c>
      <c r="CL60">
        <v>0</v>
      </c>
      <c r="CM60">
        <v>4.7000000000000002E-3</v>
      </c>
      <c r="CN60">
        <v>0</v>
      </c>
      <c r="CO60" t="s">
        <v>173</v>
      </c>
      <c r="CP60" t="s">
        <v>173</v>
      </c>
      <c r="CQ60" t="s">
        <v>173</v>
      </c>
      <c r="CR60" t="s">
        <v>173</v>
      </c>
      <c r="CS60" t="s">
        <v>173</v>
      </c>
      <c r="CT60" t="s">
        <v>173</v>
      </c>
      <c r="CU60">
        <v>2.5499999999999998E-2</v>
      </c>
      <c r="CV60">
        <v>1.61E-2</v>
      </c>
      <c r="CW60" t="s">
        <v>173</v>
      </c>
      <c r="CX60">
        <v>0.15160000000000001</v>
      </c>
      <c r="CY60">
        <v>0.66879999999999995</v>
      </c>
      <c r="CZ60" t="s">
        <v>173</v>
      </c>
      <c r="DA60" t="s">
        <v>173</v>
      </c>
      <c r="DB60" t="s">
        <v>173</v>
      </c>
      <c r="DC60" s="24">
        <f t="shared" si="0"/>
        <v>2.0899999999999998E-2</v>
      </c>
      <c r="DD60" s="24">
        <f t="shared" si="1"/>
        <v>3.8999999999999998E-3</v>
      </c>
      <c r="DE60" s="24">
        <f t="shared" si="3"/>
        <v>0.1132</v>
      </c>
      <c r="DG60" s="5">
        <f t="shared" si="2"/>
        <v>181.46417445482865</v>
      </c>
    </row>
    <row r="61" spans="1:111" ht="15" thickBot="1">
      <c r="C61" t="s">
        <v>108</v>
      </c>
      <c r="D61" s="9" t="s">
        <v>110</v>
      </c>
      <c r="G61" s="14">
        <v>34.979999999999997</v>
      </c>
      <c r="H61">
        <v>3.39</v>
      </c>
      <c r="I61" s="16">
        <v>4.59</v>
      </c>
      <c r="K61">
        <v>19.812346421191059</v>
      </c>
      <c r="M61">
        <v>0.56000000000000005</v>
      </c>
      <c r="N61">
        <v>1.03</v>
      </c>
      <c r="O61">
        <v>31.92</v>
      </c>
      <c r="X61">
        <v>0.26</v>
      </c>
      <c r="AA61">
        <v>0.41</v>
      </c>
      <c r="AD61">
        <v>99.15</v>
      </c>
      <c r="AG61">
        <v>1251</v>
      </c>
      <c r="AH61">
        <v>41.25</v>
      </c>
      <c r="AI61">
        <v>248.2</v>
      </c>
      <c r="AJ61">
        <v>66.239999999999995</v>
      </c>
      <c r="AK61">
        <v>467.8</v>
      </c>
      <c r="AL61">
        <v>155.80000000000001</v>
      </c>
      <c r="AM61">
        <v>62.28</v>
      </c>
      <c r="AN61">
        <v>158.30000000000001</v>
      </c>
      <c r="AO61">
        <v>23.52</v>
      </c>
      <c r="AP61">
        <v>138.30000000000001</v>
      </c>
      <c r="AQ61">
        <v>24.85</v>
      </c>
      <c r="AR61">
        <v>64.87</v>
      </c>
      <c r="AS61">
        <v>8.81</v>
      </c>
      <c r="AT61">
        <v>59.18</v>
      </c>
      <c r="AU61">
        <v>7.23</v>
      </c>
      <c r="AV61">
        <v>7.22</v>
      </c>
      <c r="AW61">
        <v>19.149999999999999</v>
      </c>
      <c r="AX61">
        <v>16.71</v>
      </c>
      <c r="AY61">
        <v>140</v>
      </c>
      <c r="BA61">
        <v>579</v>
      </c>
      <c r="BB61">
        <v>653</v>
      </c>
      <c r="BG61">
        <f t="shared" si="5"/>
        <v>174.05063291139243</v>
      </c>
      <c r="BH61">
        <f t="shared" si="6"/>
        <v>405.55555555555554</v>
      </c>
      <c r="BI61">
        <f t="shared" si="7"/>
        <v>697.26315789473676</v>
      </c>
      <c r="BJ61">
        <f t="shared" si="8"/>
        <v>1001.713062098501</v>
      </c>
      <c r="BK61">
        <f t="shared" si="9"/>
        <v>1018.3006535947713</v>
      </c>
      <c r="BL61">
        <f t="shared" si="10"/>
        <v>1073.7931034482758</v>
      </c>
      <c r="BM61">
        <f t="shared" si="11"/>
        <v>770.31630170316316</v>
      </c>
      <c r="BN61">
        <f t="shared" si="12"/>
        <v>628.87700534759358</v>
      </c>
      <c r="BO61">
        <f t="shared" si="13"/>
        <v>544.48818897637796</v>
      </c>
      <c r="BP61">
        <f t="shared" si="14"/>
        <v>439.04593639575978</v>
      </c>
      <c r="BQ61">
        <f t="shared" si="15"/>
        <v>391.96374622356495</v>
      </c>
      <c r="BR61">
        <f t="shared" si="16"/>
        <v>345.49019607843144</v>
      </c>
      <c r="BS61">
        <f t="shared" si="17"/>
        <v>348.11764705882348</v>
      </c>
      <c r="BT61">
        <f t="shared" si="18"/>
        <v>284.64566929133861</v>
      </c>
      <c r="BU61">
        <f t="shared" si="25"/>
        <v>2.9251624047163087</v>
      </c>
      <c r="BV61">
        <f t="shared" si="26"/>
        <v>5.8506001188354126</v>
      </c>
      <c r="BX61">
        <f t="shared" si="27"/>
        <v>0.49997647169544979</v>
      </c>
      <c r="BZ61" t="s">
        <v>173</v>
      </c>
      <c r="CA61" t="s">
        <v>173</v>
      </c>
      <c r="CB61" t="s">
        <v>173</v>
      </c>
      <c r="CC61" t="s">
        <v>173</v>
      </c>
      <c r="CD61" t="s">
        <v>173</v>
      </c>
      <c r="CE61" t="s">
        <v>173</v>
      </c>
      <c r="CF61">
        <v>5.3E-3</v>
      </c>
      <c r="CG61" s="31">
        <v>0</v>
      </c>
      <c r="CH61" t="s">
        <v>173</v>
      </c>
      <c r="CI61">
        <v>0</v>
      </c>
      <c r="CJ61">
        <v>3.0200000000000001E-2</v>
      </c>
      <c r="CK61">
        <v>0.14649999999999999</v>
      </c>
      <c r="CL61">
        <v>0</v>
      </c>
      <c r="CM61">
        <v>6.6E-3</v>
      </c>
      <c r="CN61">
        <v>0</v>
      </c>
      <c r="CO61" t="s">
        <v>173</v>
      </c>
      <c r="CP61" t="s">
        <v>173</v>
      </c>
      <c r="CQ61" t="s">
        <v>173</v>
      </c>
      <c r="CR61" t="s">
        <v>173</v>
      </c>
      <c r="CS61" t="s">
        <v>173</v>
      </c>
      <c r="CT61" t="s">
        <v>173</v>
      </c>
      <c r="CU61">
        <v>2.4299999999999999E-2</v>
      </c>
      <c r="CV61">
        <v>2.1100000000000001E-2</v>
      </c>
      <c r="CW61" t="s">
        <v>173</v>
      </c>
      <c r="CX61">
        <v>0.14549999999999999</v>
      </c>
      <c r="CY61">
        <v>0.62050000000000005</v>
      </c>
      <c r="CZ61" t="s">
        <v>173</v>
      </c>
      <c r="DA61" t="s">
        <v>173</v>
      </c>
      <c r="DB61" t="s">
        <v>173</v>
      </c>
      <c r="DC61" s="24">
        <f t="shared" si="0"/>
        <v>3.0200000000000001E-2</v>
      </c>
      <c r="DD61" s="24">
        <f t="shared" si="1"/>
        <v>5.3E-3</v>
      </c>
      <c r="DE61" s="24">
        <f t="shared" si="3"/>
        <v>0.15309999999999999</v>
      </c>
      <c r="DG61" s="5">
        <f t="shared" si="2"/>
        <v>173.26869806094183</v>
      </c>
    </row>
    <row r="62" spans="1:111">
      <c r="C62" t="s">
        <v>108</v>
      </c>
      <c r="D62" s="9" t="s">
        <v>110</v>
      </c>
      <c r="G62">
        <v>34.909999999999997</v>
      </c>
      <c r="H62">
        <v>2.65</v>
      </c>
      <c r="I62">
        <v>5.91</v>
      </c>
      <c r="K62">
        <v>19.650392635731734</v>
      </c>
      <c r="M62">
        <v>0.55000000000000004</v>
      </c>
      <c r="N62">
        <v>0.88</v>
      </c>
      <c r="O62">
        <v>32.29</v>
      </c>
      <c r="X62">
        <v>0.17</v>
      </c>
      <c r="AA62">
        <v>0.28999999999999998</v>
      </c>
      <c r="AD62">
        <v>99.5</v>
      </c>
      <c r="AG62">
        <v>1052</v>
      </c>
      <c r="AH62">
        <v>34.69</v>
      </c>
      <c r="AI62">
        <v>270.7</v>
      </c>
      <c r="AJ62">
        <v>66.77</v>
      </c>
      <c r="AK62">
        <v>459.1</v>
      </c>
      <c r="AL62">
        <v>159.5</v>
      </c>
      <c r="AM62">
        <v>56.64</v>
      </c>
      <c r="AN62">
        <v>145.69999999999999</v>
      </c>
      <c r="AO62">
        <v>21.56</v>
      </c>
      <c r="AP62">
        <v>124.9</v>
      </c>
      <c r="AQ62">
        <v>23.41</v>
      </c>
      <c r="AR62">
        <v>60.42</v>
      </c>
      <c r="AS62">
        <v>8.25</v>
      </c>
      <c r="AT62">
        <v>54.65</v>
      </c>
      <c r="AU62">
        <v>7.41</v>
      </c>
      <c r="AV62">
        <v>4.28</v>
      </c>
      <c r="AW62">
        <v>20.53</v>
      </c>
      <c r="AX62">
        <v>12.11</v>
      </c>
      <c r="AY62">
        <v>148.80000000000001</v>
      </c>
      <c r="BA62">
        <v>647</v>
      </c>
      <c r="BB62">
        <v>606</v>
      </c>
      <c r="BG62">
        <f t="shared" si="5"/>
        <v>146.37130801687763</v>
      </c>
      <c r="BH62">
        <f t="shared" si="6"/>
        <v>442.32026143790847</v>
      </c>
      <c r="BI62">
        <f t="shared" si="7"/>
        <v>702.8421052631578</v>
      </c>
      <c r="BJ62">
        <f t="shared" si="8"/>
        <v>983.08351177730196</v>
      </c>
      <c r="BK62">
        <f t="shared" si="9"/>
        <v>1042.483660130719</v>
      </c>
      <c r="BL62">
        <f t="shared" si="10"/>
        <v>976.55172413793105</v>
      </c>
      <c r="BM62">
        <f t="shared" si="11"/>
        <v>709.00243309002428</v>
      </c>
      <c r="BN62">
        <f t="shared" si="12"/>
        <v>576.47058823529403</v>
      </c>
      <c r="BO62">
        <f t="shared" si="13"/>
        <v>491.73228346456693</v>
      </c>
      <c r="BP62">
        <f t="shared" si="14"/>
        <v>413.60424028268551</v>
      </c>
      <c r="BQ62">
        <f t="shared" si="15"/>
        <v>365.07552870090632</v>
      </c>
      <c r="BR62">
        <f t="shared" si="16"/>
        <v>323.52941176470591</v>
      </c>
      <c r="BS62">
        <f t="shared" si="17"/>
        <v>321.47058823529409</v>
      </c>
      <c r="BT62">
        <f t="shared" si="18"/>
        <v>291.73228346456693</v>
      </c>
      <c r="BU62">
        <f t="shared" si="25"/>
        <v>3.2428585951001327</v>
      </c>
      <c r="BV62">
        <f t="shared" si="26"/>
        <v>7.122185859065449</v>
      </c>
      <c r="BX62">
        <f t="shared" si="27"/>
        <v>0.4553178840415224</v>
      </c>
      <c r="BZ62" t="s">
        <v>173</v>
      </c>
      <c r="CA62" t="s">
        <v>173</v>
      </c>
      <c r="CB62" t="s">
        <v>173</v>
      </c>
      <c r="CC62" t="s">
        <v>173</v>
      </c>
      <c r="CD62" t="s">
        <v>173</v>
      </c>
      <c r="CE62" t="s">
        <v>173</v>
      </c>
      <c r="CF62">
        <v>3.3999999999999998E-3</v>
      </c>
      <c r="CG62" s="31">
        <v>0</v>
      </c>
      <c r="CH62" t="s">
        <v>173</v>
      </c>
      <c r="CI62">
        <v>0</v>
      </c>
      <c r="CJ62">
        <v>5.0200000000000002E-2</v>
      </c>
      <c r="CK62">
        <v>6.4699999999999994E-2</v>
      </c>
      <c r="CL62">
        <v>0</v>
      </c>
      <c r="CM62">
        <v>0</v>
      </c>
      <c r="CN62">
        <v>0</v>
      </c>
      <c r="CO62" t="s">
        <v>173</v>
      </c>
      <c r="CP62" t="s">
        <v>173</v>
      </c>
      <c r="CQ62" t="s">
        <v>173</v>
      </c>
      <c r="CR62" t="s">
        <v>173</v>
      </c>
      <c r="CS62" t="s">
        <v>173</v>
      </c>
      <c r="CT62" t="s">
        <v>173</v>
      </c>
      <c r="CU62">
        <v>2.06E-2</v>
      </c>
      <c r="CV62">
        <v>2.2599999999999999E-2</v>
      </c>
      <c r="CW62">
        <v>1.1999999999999999E-3</v>
      </c>
      <c r="CX62">
        <v>0.1905</v>
      </c>
      <c r="CY62">
        <v>0.64670000000000005</v>
      </c>
      <c r="CZ62" t="s">
        <v>173</v>
      </c>
      <c r="DA62" t="s">
        <v>173</v>
      </c>
      <c r="DB62" t="s">
        <v>173</v>
      </c>
      <c r="DC62" s="24">
        <f t="shared" si="0"/>
        <v>5.0200000000000002E-2</v>
      </c>
      <c r="DD62" s="24">
        <f t="shared" si="1"/>
        <v>3.3999999999999998E-3</v>
      </c>
      <c r="DE62" s="24">
        <f t="shared" si="3"/>
        <v>6.4699999999999994E-2</v>
      </c>
      <c r="DG62" s="5">
        <f t="shared" si="2"/>
        <v>245.79439252336448</v>
      </c>
    </row>
    <row r="63" spans="1:111">
      <c r="C63" t="s">
        <v>108</v>
      </c>
      <c r="D63" s="9" t="s">
        <v>110</v>
      </c>
      <c r="G63">
        <v>34.58</v>
      </c>
      <c r="H63">
        <v>2.96</v>
      </c>
      <c r="I63">
        <v>4.1399999999999997</v>
      </c>
      <c r="K63">
        <v>21.15296386749327</v>
      </c>
      <c r="M63">
        <v>0.42</v>
      </c>
      <c r="N63">
        <v>0.86</v>
      </c>
      <c r="O63">
        <v>32.090000000000003</v>
      </c>
      <c r="X63">
        <v>0.25</v>
      </c>
      <c r="AA63">
        <v>0.4</v>
      </c>
      <c r="AD63">
        <v>99.21</v>
      </c>
      <c r="AG63">
        <v>1853</v>
      </c>
      <c r="AH63">
        <v>27.9</v>
      </c>
      <c r="AI63">
        <v>207.3</v>
      </c>
      <c r="AJ63">
        <v>55.29</v>
      </c>
      <c r="AK63">
        <v>410.6</v>
      </c>
      <c r="AL63">
        <v>153</v>
      </c>
      <c r="AM63">
        <v>50.75</v>
      </c>
      <c r="AN63">
        <v>156.1</v>
      </c>
      <c r="AO63">
        <v>23.07</v>
      </c>
      <c r="AP63">
        <v>130.30000000000001</v>
      </c>
      <c r="AQ63">
        <v>23.41</v>
      </c>
      <c r="AR63">
        <v>60.14</v>
      </c>
      <c r="AS63">
        <v>8.0399999999999991</v>
      </c>
      <c r="AT63">
        <v>50.66</v>
      </c>
      <c r="AU63">
        <v>7.05</v>
      </c>
      <c r="AV63">
        <v>9.5</v>
      </c>
      <c r="AW63">
        <v>39.94</v>
      </c>
      <c r="AX63">
        <v>20.03</v>
      </c>
      <c r="AY63">
        <v>177</v>
      </c>
      <c r="BA63">
        <v>594</v>
      </c>
      <c r="BB63">
        <v>647</v>
      </c>
      <c r="BG63">
        <f t="shared" si="5"/>
        <v>117.72151898734177</v>
      </c>
      <c r="BH63">
        <f t="shared" si="6"/>
        <v>338.72549019607845</v>
      </c>
      <c r="BI63">
        <f t="shared" si="7"/>
        <v>582</v>
      </c>
      <c r="BJ63">
        <f t="shared" si="8"/>
        <v>879.22912205567457</v>
      </c>
      <c r="BK63">
        <f t="shared" si="9"/>
        <v>1000</v>
      </c>
      <c r="BL63">
        <f t="shared" si="10"/>
        <v>875</v>
      </c>
      <c r="BM63">
        <f t="shared" si="11"/>
        <v>759.6107055961071</v>
      </c>
      <c r="BN63">
        <f t="shared" si="12"/>
        <v>616.84491978609617</v>
      </c>
      <c r="BO63">
        <f t="shared" si="13"/>
        <v>512.99212598425197</v>
      </c>
      <c r="BP63">
        <f t="shared" si="14"/>
        <v>413.60424028268551</v>
      </c>
      <c r="BQ63">
        <f t="shared" si="15"/>
        <v>363.38368580060421</v>
      </c>
      <c r="BR63">
        <f t="shared" si="16"/>
        <v>315.29411764705878</v>
      </c>
      <c r="BS63">
        <f t="shared" si="17"/>
        <v>297.99999999999994</v>
      </c>
      <c r="BT63">
        <f t="shared" si="18"/>
        <v>277.55905511811022</v>
      </c>
      <c r="BU63">
        <f t="shared" si="25"/>
        <v>3.3557046979865777</v>
      </c>
      <c r="BV63">
        <f t="shared" si="26"/>
        <v>8.4946236559139781</v>
      </c>
      <c r="BX63">
        <f t="shared" si="27"/>
        <v>0.3950386543199389</v>
      </c>
      <c r="BZ63" t="s">
        <v>173</v>
      </c>
      <c r="CA63" t="s">
        <v>173</v>
      </c>
      <c r="CB63" t="s">
        <v>173</v>
      </c>
      <c r="CC63" t="s">
        <v>173</v>
      </c>
      <c r="CD63" t="s">
        <v>173</v>
      </c>
      <c r="CE63" t="s">
        <v>173</v>
      </c>
      <c r="CF63">
        <v>5.1000000000000004E-3</v>
      </c>
      <c r="CG63" s="31">
        <v>0</v>
      </c>
      <c r="CH63" t="s">
        <v>173</v>
      </c>
      <c r="CI63">
        <v>0</v>
      </c>
      <c r="CJ63">
        <v>4.2500000000000003E-2</v>
      </c>
      <c r="CK63">
        <v>0.10009999999999999</v>
      </c>
      <c r="CL63">
        <v>0</v>
      </c>
      <c r="CM63">
        <v>2E-3</v>
      </c>
      <c r="CN63">
        <v>0</v>
      </c>
      <c r="CO63" t="s">
        <v>173</v>
      </c>
      <c r="CP63" t="s">
        <v>173</v>
      </c>
      <c r="CQ63" t="s">
        <v>173</v>
      </c>
      <c r="CR63" t="s">
        <v>173</v>
      </c>
      <c r="CS63" t="s">
        <v>173</v>
      </c>
      <c r="CT63" t="s">
        <v>173</v>
      </c>
      <c r="CU63">
        <v>2.0400000000000001E-2</v>
      </c>
      <c r="CV63">
        <v>1.6899999999999998E-2</v>
      </c>
      <c r="CW63" t="s">
        <v>173</v>
      </c>
      <c r="CX63">
        <v>0.1201</v>
      </c>
      <c r="CY63">
        <v>0.69299999999999995</v>
      </c>
      <c r="CZ63" t="s">
        <v>173</v>
      </c>
      <c r="DA63" t="s">
        <v>173</v>
      </c>
      <c r="DB63" t="s">
        <v>173</v>
      </c>
      <c r="DC63" s="24">
        <f t="shared" si="0"/>
        <v>4.2500000000000003E-2</v>
      </c>
      <c r="DD63" s="24">
        <f t="shared" si="1"/>
        <v>5.1000000000000004E-3</v>
      </c>
      <c r="DE63" s="24">
        <f t="shared" si="3"/>
        <v>0.1021</v>
      </c>
      <c r="DG63" s="5">
        <f t="shared" si="2"/>
        <v>195.05263157894737</v>
      </c>
    </row>
    <row r="64" spans="1:111">
      <c r="C64" t="s">
        <v>108</v>
      </c>
      <c r="D64" s="9" t="s">
        <v>110</v>
      </c>
      <c r="G64">
        <v>34.450000000000003</v>
      </c>
      <c r="H64">
        <v>2.96</v>
      </c>
      <c r="I64">
        <v>4.18</v>
      </c>
      <c r="K64">
        <v>21.350907383054672</v>
      </c>
      <c r="M64">
        <v>0.43</v>
      </c>
      <c r="N64">
        <v>0.81</v>
      </c>
      <c r="O64">
        <v>32.869999999999997</v>
      </c>
      <c r="X64">
        <v>0.19</v>
      </c>
      <c r="AA64">
        <v>0.37</v>
      </c>
      <c r="AD64">
        <v>99.98</v>
      </c>
      <c r="AG64">
        <v>1189</v>
      </c>
      <c r="AH64">
        <v>29.51</v>
      </c>
      <c r="AI64">
        <v>247.2</v>
      </c>
      <c r="AJ64">
        <v>63.94</v>
      </c>
      <c r="AK64">
        <v>444.2</v>
      </c>
      <c r="AL64">
        <v>162.1</v>
      </c>
      <c r="AM64">
        <v>56.84</v>
      </c>
      <c r="AN64">
        <v>143.1</v>
      </c>
      <c r="AO64">
        <v>20.9</v>
      </c>
      <c r="AP64">
        <v>116.9</v>
      </c>
      <c r="AQ64">
        <v>21.26</v>
      </c>
      <c r="AR64">
        <v>52.41</v>
      </c>
      <c r="AS64">
        <v>7.34</v>
      </c>
      <c r="AT64">
        <v>49.67</v>
      </c>
      <c r="AU64">
        <v>6.41</v>
      </c>
      <c r="AV64">
        <v>5.85</v>
      </c>
      <c r="AW64">
        <v>16.36</v>
      </c>
      <c r="AX64">
        <v>23.07</v>
      </c>
      <c r="AY64">
        <v>152.6</v>
      </c>
      <c r="BA64">
        <v>536</v>
      </c>
      <c r="BB64">
        <v>568</v>
      </c>
      <c r="BG64">
        <f t="shared" si="5"/>
        <v>124.51476793248946</v>
      </c>
      <c r="BH64">
        <f t="shared" si="6"/>
        <v>403.92156862745099</v>
      </c>
      <c r="BI64">
        <f t="shared" si="7"/>
        <v>673.05263157894728</v>
      </c>
      <c r="BJ64">
        <f t="shared" si="8"/>
        <v>951.17773019271942</v>
      </c>
      <c r="BK64">
        <f t="shared" si="9"/>
        <v>1059.4771241830065</v>
      </c>
      <c r="BL64">
        <f t="shared" si="10"/>
        <v>980</v>
      </c>
      <c r="BM64">
        <f t="shared" si="11"/>
        <v>696.35036496350369</v>
      </c>
      <c r="BN64">
        <f t="shared" si="12"/>
        <v>558.82352941176464</v>
      </c>
      <c r="BO64">
        <f t="shared" si="13"/>
        <v>460.23622047244095</v>
      </c>
      <c r="BP64">
        <f t="shared" si="14"/>
        <v>375.61837455830391</v>
      </c>
      <c r="BQ64">
        <f t="shared" si="15"/>
        <v>316.67673716012081</v>
      </c>
      <c r="BR64">
        <f t="shared" si="16"/>
        <v>287.84313725490199</v>
      </c>
      <c r="BS64">
        <f t="shared" si="17"/>
        <v>292.1764705882353</v>
      </c>
      <c r="BT64">
        <f t="shared" si="18"/>
        <v>252.36220472440945</v>
      </c>
      <c r="BU64">
        <f t="shared" si="25"/>
        <v>3.6261548441939015</v>
      </c>
      <c r="BV64">
        <f t="shared" si="26"/>
        <v>8.5088471172949003</v>
      </c>
      <c r="BX64">
        <f t="shared" si="27"/>
        <v>0.42616288601818419</v>
      </c>
      <c r="BZ64" t="s">
        <v>173</v>
      </c>
      <c r="CA64" t="s">
        <v>173</v>
      </c>
      <c r="CB64" t="s">
        <v>173</v>
      </c>
      <c r="CC64" t="s">
        <v>173</v>
      </c>
      <c r="CD64" t="s">
        <v>173</v>
      </c>
      <c r="CE64" t="s">
        <v>173</v>
      </c>
      <c r="CF64">
        <v>3.8999999999999998E-3</v>
      </c>
      <c r="CG64" s="31">
        <v>0</v>
      </c>
      <c r="CH64" t="s">
        <v>173</v>
      </c>
      <c r="CI64">
        <v>0</v>
      </c>
      <c r="CJ64">
        <v>6.2199999999999998E-2</v>
      </c>
      <c r="CK64">
        <v>1.8599999999999998E-2</v>
      </c>
      <c r="CL64">
        <v>0</v>
      </c>
      <c r="CM64">
        <v>4.24E-2</v>
      </c>
      <c r="CN64">
        <v>0</v>
      </c>
      <c r="CO64" t="s">
        <v>173</v>
      </c>
      <c r="CP64" t="s">
        <v>173</v>
      </c>
      <c r="CQ64" t="s">
        <v>173</v>
      </c>
      <c r="CR64" t="s">
        <v>173</v>
      </c>
      <c r="CS64" t="s">
        <v>173</v>
      </c>
      <c r="CT64" t="s">
        <v>173</v>
      </c>
      <c r="CU64">
        <v>1.9E-2</v>
      </c>
      <c r="CV64">
        <v>3.7000000000000002E-3</v>
      </c>
      <c r="CW64" t="s">
        <v>173</v>
      </c>
      <c r="CX64">
        <v>0.1163</v>
      </c>
      <c r="CY64">
        <v>0.7339</v>
      </c>
      <c r="CZ64" t="s">
        <v>173</v>
      </c>
      <c r="DA64" t="s">
        <v>173</v>
      </c>
      <c r="DB64" t="s">
        <v>173</v>
      </c>
      <c r="DC64" s="24">
        <f t="shared" si="0"/>
        <v>6.2199999999999998E-2</v>
      </c>
      <c r="DD64" s="24">
        <f t="shared" si="1"/>
        <v>3.8999999999999998E-3</v>
      </c>
      <c r="DE64" s="24">
        <f t="shared" si="3"/>
        <v>6.0999999999999999E-2</v>
      </c>
      <c r="DG64" s="5">
        <f t="shared" si="2"/>
        <v>203.24786324786325</v>
      </c>
    </row>
    <row r="65" spans="1:111">
      <c r="C65" t="s">
        <v>108</v>
      </c>
      <c r="D65" s="9" t="s">
        <v>110</v>
      </c>
      <c r="G65">
        <v>34.270000000000003</v>
      </c>
      <c r="H65">
        <v>3.45</v>
      </c>
      <c r="I65">
        <v>3.84</v>
      </c>
      <c r="K65">
        <v>21.566845763667107</v>
      </c>
      <c r="M65">
        <v>0.44</v>
      </c>
      <c r="N65">
        <v>0.85</v>
      </c>
      <c r="O65">
        <v>32.380000000000003</v>
      </c>
      <c r="X65">
        <v>0.19</v>
      </c>
      <c r="AA65">
        <v>0.42</v>
      </c>
      <c r="AD65">
        <v>99.82</v>
      </c>
      <c r="AG65">
        <v>1298</v>
      </c>
      <c r="AH65">
        <v>28.09</v>
      </c>
      <c r="AI65">
        <v>239.1</v>
      </c>
      <c r="AJ65">
        <v>60.81</v>
      </c>
      <c r="AK65">
        <v>388.3</v>
      </c>
      <c r="AL65">
        <v>142.4</v>
      </c>
      <c r="AM65">
        <v>51.38</v>
      </c>
      <c r="AN65">
        <v>120.5</v>
      </c>
      <c r="AO65">
        <v>18.02</v>
      </c>
      <c r="AP65">
        <v>90.61</v>
      </c>
      <c r="AQ65">
        <v>15.8</v>
      </c>
      <c r="AR65">
        <v>39.22</v>
      </c>
      <c r="AS65">
        <v>5.0999999999999996</v>
      </c>
      <c r="AT65">
        <v>35.67</v>
      </c>
      <c r="AU65">
        <v>4.51</v>
      </c>
      <c r="AV65">
        <v>5.27</v>
      </c>
      <c r="AW65">
        <v>25.63</v>
      </c>
      <c r="AX65">
        <v>12.81</v>
      </c>
      <c r="AY65">
        <v>135.80000000000001</v>
      </c>
      <c r="BA65">
        <v>700</v>
      </c>
      <c r="BB65">
        <v>458</v>
      </c>
      <c r="BG65">
        <f t="shared" si="5"/>
        <v>118.52320675105486</v>
      </c>
      <c r="BH65">
        <f t="shared" si="6"/>
        <v>390.68627450980392</v>
      </c>
      <c r="BI65">
        <f t="shared" si="7"/>
        <v>640.1052631578948</v>
      </c>
      <c r="BJ65">
        <f t="shared" si="8"/>
        <v>831.47751605995711</v>
      </c>
      <c r="BK65">
        <f t="shared" si="9"/>
        <v>930.71895424836612</v>
      </c>
      <c r="BL65">
        <f t="shared" si="10"/>
        <v>885.86206896551721</v>
      </c>
      <c r="BM65">
        <f t="shared" si="11"/>
        <v>586.37469586374698</v>
      </c>
      <c r="BN65">
        <f t="shared" si="12"/>
        <v>481.81818181818176</v>
      </c>
      <c r="BO65">
        <f t="shared" si="13"/>
        <v>356.73228346456693</v>
      </c>
      <c r="BP65">
        <f t="shared" si="14"/>
        <v>279.15194346289758</v>
      </c>
      <c r="BQ65">
        <f t="shared" si="15"/>
        <v>236.97885196374619</v>
      </c>
      <c r="BR65">
        <f t="shared" si="16"/>
        <v>200</v>
      </c>
      <c r="BS65">
        <f t="shared" si="17"/>
        <v>209.8235294117647</v>
      </c>
      <c r="BT65">
        <f t="shared" si="18"/>
        <v>177.55905511811022</v>
      </c>
      <c r="BU65">
        <f t="shared" si="25"/>
        <v>4.435722518144722</v>
      </c>
      <c r="BV65">
        <f t="shared" si="26"/>
        <v>7.8526305502621137</v>
      </c>
      <c r="BX65">
        <f t="shared" si="27"/>
        <v>0.56487090405605067</v>
      </c>
      <c r="BZ65" t="s">
        <v>173</v>
      </c>
      <c r="CA65" t="s">
        <v>173</v>
      </c>
      <c r="CB65" t="s">
        <v>173</v>
      </c>
      <c r="CC65" t="s">
        <v>173</v>
      </c>
      <c r="CD65" t="s">
        <v>173</v>
      </c>
      <c r="CE65" t="s">
        <v>173</v>
      </c>
      <c r="CF65">
        <v>3.8999999999999998E-3</v>
      </c>
      <c r="CG65" s="31">
        <v>0</v>
      </c>
      <c r="CH65" t="s">
        <v>173</v>
      </c>
      <c r="CI65">
        <v>0</v>
      </c>
      <c r="CJ65">
        <v>6.2100000000000002E-2</v>
      </c>
      <c r="CK65">
        <v>7.4399999999999994E-2</v>
      </c>
      <c r="CL65">
        <v>0</v>
      </c>
      <c r="CM65">
        <v>1.8700000000000001E-2</v>
      </c>
      <c r="CN65">
        <v>0</v>
      </c>
      <c r="CO65" t="s">
        <v>173</v>
      </c>
      <c r="CP65" t="s">
        <v>173</v>
      </c>
      <c r="CQ65" t="s">
        <v>173</v>
      </c>
      <c r="CR65" t="s">
        <v>173</v>
      </c>
      <c r="CS65" t="s">
        <v>173</v>
      </c>
      <c r="CT65" t="s">
        <v>173</v>
      </c>
      <c r="CU65">
        <v>2.01E-2</v>
      </c>
      <c r="CV65">
        <v>1.21E-2</v>
      </c>
      <c r="CW65" t="s">
        <v>173</v>
      </c>
      <c r="CX65">
        <v>9.1300000000000006E-2</v>
      </c>
      <c r="CY65">
        <v>0.71760000000000002</v>
      </c>
      <c r="CZ65" t="s">
        <v>173</v>
      </c>
      <c r="DA65" t="s">
        <v>173</v>
      </c>
      <c r="DB65" t="s">
        <v>173</v>
      </c>
      <c r="DC65" s="24">
        <f t="shared" si="0"/>
        <v>6.2100000000000002E-2</v>
      </c>
      <c r="DD65" s="24">
        <f t="shared" si="1"/>
        <v>3.8999999999999998E-3</v>
      </c>
      <c r="DE65" s="24">
        <f t="shared" si="3"/>
        <v>9.3099999999999988E-2</v>
      </c>
      <c r="DG65" s="5">
        <f t="shared" si="2"/>
        <v>246.29981024667933</v>
      </c>
    </row>
    <row r="66" spans="1:111">
      <c r="C66" t="s">
        <v>109</v>
      </c>
      <c r="D66" s="9" t="s">
        <v>110</v>
      </c>
      <c r="G66">
        <v>34.97</v>
      </c>
      <c r="H66">
        <v>2.59</v>
      </c>
      <c r="I66">
        <v>5.83</v>
      </c>
      <c r="K66">
        <v>18.993580061368903</v>
      </c>
      <c r="M66">
        <v>0.53</v>
      </c>
      <c r="N66">
        <v>0.86</v>
      </c>
      <c r="O66">
        <v>32.659999999999997</v>
      </c>
      <c r="X66">
        <v>0.21</v>
      </c>
      <c r="AA66">
        <v>0.3</v>
      </c>
      <c r="AD66">
        <v>99.07</v>
      </c>
      <c r="AG66">
        <v>1071</v>
      </c>
      <c r="AH66">
        <v>37.07</v>
      </c>
      <c r="AI66">
        <v>280.3</v>
      </c>
      <c r="AJ66">
        <v>69.790000000000006</v>
      </c>
      <c r="AK66">
        <v>447</v>
      </c>
      <c r="AL66">
        <v>157.1</v>
      </c>
      <c r="AM66">
        <v>55.81</v>
      </c>
      <c r="AN66">
        <v>149.9</v>
      </c>
      <c r="AO66">
        <v>22.65</v>
      </c>
      <c r="AP66">
        <v>131.1</v>
      </c>
      <c r="AQ66">
        <v>23.41</v>
      </c>
      <c r="AR66">
        <v>61.81</v>
      </c>
      <c r="AS66">
        <v>8.69</v>
      </c>
      <c r="AT66">
        <v>56.41</v>
      </c>
      <c r="AU66">
        <v>7.5</v>
      </c>
      <c r="AV66">
        <v>4.5199999999999996</v>
      </c>
      <c r="AW66">
        <v>18.64</v>
      </c>
      <c r="AX66">
        <v>10.47</v>
      </c>
      <c r="AY66">
        <v>124</v>
      </c>
      <c r="BA66">
        <v>404</v>
      </c>
      <c r="BB66">
        <v>642</v>
      </c>
      <c r="BG66">
        <f t="shared" si="5"/>
        <v>156.41350210970464</v>
      </c>
      <c r="BH66">
        <f t="shared" si="6"/>
        <v>458.00653594771245</v>
      </c>
      <c r="BI66">
        <f t="shared" si="7"/>
        <v>734.63157894736844</v>
      </c>
      <c r="BJ66">
        <f t="shared" si="8"/>
        <v>957.17344753747318</v>
      </c>
      <c r="BK66">
        <f t="shared" si="9"/>
        <v>1026.7973856209151</v>
      </c>
      <c r="BL66">
        <f t="shared" si="10"/>
        <v>962.24137931034477</v>
      </c>
      <c r="BM66">
        <f t="shared" si="11"/>
        <v>729.44038929440399</v>
      </c>
      <c r="BN66">
        <f t="shared" si="12"/>
        <v>605.61497326203198</v>
      </c>
      <c r="BO66">
        <f t="shared" si="13"/>
        <v>516.14173228346453</v>
      </c>
      <c r="BP66">
        <f t="shared" si="14"/>
        <v>413.60424028268551</v>
      </c>
      <c r="BQ66">
        <f t="shared" si="15"/>
        <v>373.47432024169183</v>
      </c>
      <c r="BR66">
        <f t="shared" si="16"/>
        <v>340.78431372549022</v>
      </c>
      <c r="BS66">
        <f t="shared" si="17"/>
        <v>331.82352941176464</v>
      </c>
      <c r="BT66">
        <f t="shared" si="18"/>
        <v>295.2755905511811</v>
      </c>
      <c r="BU66">
        <f t="shared" si="25"/>
        <v>3.0944080048848712</v>
      </c>
      <c r="BV66">
        <f t="shared" si="26"/>
        <v>6.5646339463759613</v>
      </c>
      <c r="BX66">
        <f t="shared" si="27"/>
        <v>0.47137556033770245</v>
      </c>
      <c r="BZ66" t="s">
        <v>173</v>
      </c>
      <c r="CA66" t="s">
        <v>173</v>
      </c>
      <c r="CB66" t="s">
        <v>173</v>
      </c>
      <c r="CC66" t="s">
        <v>173</v>
      </c>
      <c r="CD66" t="s">
        <v>173</v>
      </c>
      <c r="CE66" t="s">
        <v>173</v>
      </c>
      <c r="CF66">
        <v>4.3E-3</v>
      </c>
      <c r="CG66" s="31">
        <v>0</v>
      </c>
      <c r="CH66" t="s">
        <v>173</v>
      </c>
      <c r="CI66">
        <v>0</v>
      </c>
      <c r="CJ66">
        <v>4.2999999999999997E-2</v>
      </c>
      <c r="CK66">
        <v>4.2299999999999997E-2</v>
      </c>
      <c r="CL66">
        <v>0</v>
      </c>
      <c r="CM66">
        <v>3.3599999999999998E-2</v>
      </c>
      <c r="CN66">
        <v>0</v>
      </c>
      <c r="CO66" t="s">
        <v>173</v>
      </c>
      <c r="CP66" t="s">
        <v>173</v>
      </c>
      <c r="CQ66" t="s">
        <v>173</v>
      </c>
      <c r="CR66" t="s">
        <v>173</v>
      </c>
      <c r="CS66" t="s">
        <v>173</v>
      </c>
      <c r="CT66" t="s">
        <v>173</v>
      </c>
      <c r="CU66">
        <v>2.0199999999999999E-2</v>
      </c>
      <c r="CV66">
        <v>1.0699999999999999E-2</v>
      </c>
      <c r="CW66" t="s">
        <v>173</v>
      </c>
      <c r="CX66">
        <v>0.20730000000000001</v>
      </c>
      <c r="CY66">
        <v>0.63870000000000005</v>
      </c>
      <c r="CZ66" t="s">
        <v>173</v>
      </c>
      <c r="DA66" t="s">
        <v>173</v>
      </c>
      <c r="DB66" t="s">
        <v>173</v>
      </c>
      <c r="DC66" s="24">
        <f t="shared" si="0"/>
        <v>4.2999999999999997E-2</v>
      </c>
      <c r="DD66" s="24">
        <f t="shared" si="1"/>
        <v>4.3E-3</v>
      </c>
      <c r="DE66" s="24">
        <f t="shared" si="3"/>
        <v>7.5899999999999995E-2</v>
      </c>
      <c r="DG66" s="5">
        <f t="shared" si="2"/>
        <v>236.94690265486727</v>
      </c>
    </row>
    <row r="67" spans="1:111">
      <c r="C67" t="s">
        <v>109</v>
      </c>
      <c r="D67" s="9" t="s">
        <v>110</v>
      </c>
      <c r="G67">
        <v>34.57</v>
      </c>
      <c r="H67">
        <v>2.7</v>
      </c>
      <c r="I67">
        <v>6.07</v>
      </c>
      <c r="K67">
        <v>18.930598033690273</v>
      </c>
      <c r="M67">
        <v>0.53</v>
      </c>
      <c r="N67">
        <v>0.78</v>
      </c>
      <c r="O67">
        <v>32.54</v>
      </c>
      <c r="X67">
        <v>0.22</v>
      </c>
      <c r="AA67">
        <v>0.32</v>
      </c>
      <c r="AD67">
        <v>98.76</v>
      </c>
      <c r="AG67">
        <v>1133</v>
      </c>
      <c r="AH67">
        <v>40.17</v>
      </c>
      <c r="AI67">
        <v>258.60000000000002</v>
      </c>
      <c r="AJ67">
        <v>63.22</v>
      </c>
      <c r="AK67">
        <v>438.9</v>
      </c>
      <c r="AL67">
        <v>154.80000000000001</v>
      </c>
      <c r="AM67">
        <v>55.3</v>
      </c>
      <c r="AN67">
        <v>148.69999999999999</v>
      </c>
      <c r="AO67">
        <v>23</v>
      </c>
      <c r="AP67">
        <v>130.4</v>
      </c>
      <c r="AQ67">
        <v>23.85</v>
      </c>
      <c r="AR67">
        <v>62.06</v>
      </c>
      <c r="AS67">
        <v>8.61</v>
      </c>
      <c r="AT67">
        <v>54.15</v>
      </c>
      <c r="AU67">
        <v>7.58</v>
      </c>
      <c r="AV67">
        <v>5.07</v>
      </c>
      <c r="AW67">
        <v>20.34</v>
      </c>
      <c r="AX67">
        <v>9.8699999999999992</v>
      </c>
      <c r="AY67">
        <v>110.1</v>
      </c>
      <c r="BA67">
        <v>369</v>
      </c>
      <c r="BB67">
        <v>651</v>
      </c>
      <c r="BG67">
        <f t="shared" si="5"/>
        <v>169.49367088607596</v>
      </c>
      <c r="BH67">
        <f t="shared" si="6"/>
        <v>422.54901960784321</v>
      </c>
      <c r="BI67">
        <f t="shared" si="7"/>
        <v>665.47368421052624</v>
      </c>
      <c r="BJ67">
        <f t="shared" si="8"/>
        <v>939.82869379014983</v>
      </c>
      <c r="BK67">
        <f t="shared" si="9"/>
        <v>1011.764705882353</v>
      </c>
      <c r="BL67">
        <f t="shared" si="10"/>
        <v>953.44827586206884</v>
      </c>
      <c r="BM67">
        <f t="shared" si="11"/>
        <v>723.60097323600974</v>
      </c>
      <c r="BN67">
        <f t="shared" si="12"/>
        <v>614.97326203208547</v>
      </c>
      <c r="BO67">
        <f t="shared" si="13"/>
        <v>513.38582677165357</v>
      </c>
      <c r="BP67">
        <f t="shared" si="14"/>
        <v>421.37809187279157</v>
      </c>
      <c r="BQ67">
        <f t="shared" si="15"/>
        <v>374.9848942598187</v>
      </c>
      <c r="BR67">
        <f t="shared" si="16"/>
        <v>337.64705882352939</v>
      </c>
      <c r="BS67">
        <f t="shared" si="17"/>
        <v>318.52941176470586</v>
      </c>
      <c r="BT67">
        <f t="shared" si="18"/>
        <v>298.42519685039372</v>
      </c>
      <c r="BU67">
        <f t="shared" si="25"/>
        <v>3.1763619575253932</v>
      </c>
      <c r="BV67">
        <f t="shared" si="26"/>
        <v>5.9693362034881172</v>
      </c>
      <c r="BX67">
        <f t="shared" si="27"/>
        <v>0.53211309419451369</v>
      </c>
      <c r="BZ67" t="s">
        <v>173</v>
      </c>
      <c r="CA67" t="s">
        <v>173</v>
      </c>
      <c r="CB67" t="s">
        <v>173</v>
      </c>
      <c r="CC67" t="s">
        <v>173</v>
      </c>
      <c r="CD67" t="s">
        <v>173</v>
      </c>
      <c r="CE67" t="s">
        <v>173</v>
      </c>
      <c r="CF67">
        <v>4.4999999999999997E-3</v>
      </c>
      <c r="CG67" s="31">
        <v>0</v>
      </c>
      <c r="CH67" t="s">
        <v>173</v>
      </c>
      <c r="CI67">
        <v>0</v>
      </c>
      <c r="CJ67">
        <v>5.5300000000000002E-2</v>
      </c>
      <c r="CK67">
        <v>3.27E-2</v>
      </c>
      <c r="CL67">
        <v>0</v>
      </c>
      <c r="CM67">
        <v>2.5999999999999999E-2</v>
      </c>
      <c r="CN67">
        <v>0</v>
      </c>
      <c r="CO67" t="s">
        <v>173</v>
      </c>
      <c r="CP67" t="s">
        <v>173</v>
      </c>
      <c r="CQ67" t="s">
        <v>173</v>
      </c>
      <c r="CR67" t="s">
        <v>173</v>
      </c>
      <c r="CS67" t="s">
        <v>173</v>
      </c>
      <c r="CT67" t="s">
        <v>173</v>
      </c>
      <c r="CU67">
        <v>1.83E-2</v>
      </c>
      <c r="CV67">
        <v>1.3299999999999999E-2</v>
      </c>
      <c r="CW67" t="s">
        <v>173</v>
      </c>
      <c r="CX67">
        <v>0.20669999999999999</v>
      </c>
      <c r="CY67">
        <v>0.64319999999999999</v>
      </c>
      <c r="CZ67" t="s">
        <v>173</v>
      </c>
      <c r="DA67" t="s">
        <v>173</v>
      </c>
      <c r="DB67" t="s">
        <v>173</v>
      </c>
      <c r="DC67" s="24">
        <f t="shared" ref="DC67:DC130" si="28">CI67+CJ67</f>
        <v>5.5300000000000002E-2</v>
      </c>
      <c r="DD67" s="24">
        <f t="shared" ref="DD67:DD130" si="29">CF67+CG67</f>
        <v>4.4999999999999997E-3</v>
      </c>
      <c r="DE67" s="24">
        <f t="shared" si="3"/>
        <v>5.8700000000000002E-2</v>
      </c>
      <c r="DG67" s="5">
        <f t="shared" ref="DG67:DG130" si="30">AG67/AV67</f>
        <v>223.47140039447731</v>
      </c>
    </row>
    <row r="68" spans="1:111">
      <c r="C68" t="s">
        <v>109</v>
      </c>
      <c r="D68" s="9" t="s">
        <v>110</v>
      </c>
      <c r="G68">
        <v>34.96</v>
      </c>
      <c r="H68">
        <v>2.61</v>
      </c>
      <c r="I68">
        <v>6.14</v>
      </c>
      <c r="K68">
        <v>18.984582628843384</v>
      </c>
      <c r="M68">
        <v>0.55000000000000004</v>
      </c>
      <c r="N68">
        <v>0.85</v>
      </c>
      <c r="O68">
        <v>32.450000000000003</v>
      </c>
      <c r="X68">
        <v>0.17</v>
      </c>
      <c r="AA68">
        <v>0.34</v>
      </c>
      <c r="AD68">
        <v>99.17</v>
      </c>
      <c r="AG68">
        <v>1423</v>
      </c>
      <c r="AH68">
        <v>40.4</v>
      </c>
      <c r="AI68">
        <v>291.89999999999998</v>
      </c>
      <c r="AJ68">
        <v>72.25</v>
      </c>
      <c r="AK68">
        <v>481.2</v>
      </c>
      <c r="AL68">
        <v>171.6</v>
      </c>
      <c r="AM68">
        <v>60.34</v>
      </c>
      <c r="AN68">
        <v>172.8</v>
      </c>
      <c r="AO68">
        <v>26.11</v>
      </c>
      <c r="AP68">
        <v>150.69999999999999</v>
      </c>
      <c r="AQ68">
        <v>28.18</v>
      </c>
      <c r="AR68">
        <v>71.73</v>
      </c>
      <c r="AS68">
        <v>10.06</v>
      </c>
      <c r="AT68">
        <v>65.53</v>
      </c>
      <c r="AU68">
        <v>8.9700000000000006</v>
      </c>
      <c r="AV68">
        <v>5.83</v>
      </c>
      <c r="AW68">
        <v>26.99</v>
      </c>
      <c r="AX68">
        <v>11.72</v>
      </c>
      <c r="AY68">
        <v>168.3</v>
      </c>
      <c r="BA68">
        <v>520</v>
      </c>
      <c r="BB68">
        <v>762</v>
      </c>
      <c r="BG68">
        <f t="shared" si="5"/>
        <v>170.46413502109704</v>
      </c>
      <c r="BH68">
        <f t="shared" si="6"/>
        <v>476.96078431372547</v>
      </c>
      <c r="BI68">
        <f t="shared" si="7"/>
        <v>760.52631578947364</v>
      </c>
      <c r="BJ68">
        <f t="shared" si="8"/>
        <v>1030.406852248394</v>
      </c>
      <c r="BK68">
        <f t="shared" si="9"/>
        <v>1121.5686274509803</v>
      </c>
      <c r="BL68">
        <f t="shared" si="10"/>
        <v>1040.344827586207</v>
      </c>
      <c r="BM68">
        <f t="shared" si="11"/>
        <v>840.87591240875918</v>
      </c>
      <c r="BN68">
        <f t="shared" si="12"/>
        <v>698.12834224598919</v>
      </c>
      <c r="BO68">
        <f t="shared" si="13"/>
        <v>593.30708661417316</v>
      </c>
      <c r="BP68">
        <f t="shared" si="14"/>
        <v>497.87985865724386</v>
      </c>
      <c r="BQ68">
        <f t="shared" si="15"/>
        <v>433.41389728096675</v>
      </c>
      <c r="BR68">
        <f t="shared" si="16"/>
        <v>394.50980392156868</v>
      </c>
      <c r="BS68">
        <f t="shared" si="17"/>
        <v>385.47058823529409</v>
      </c>
      <c r="BT68">
        <f t="shared" si="18"/>
        <v>353.14960629921262</v>
      </c>
      <c r="BU68">
        <f t="shared" si="25"/>
        <v>2.9096088305610661</v>
      </c>
      <c r="BV68">
        <f t="shared" si="26"/>
        <v>6.5794991263832268</v>
      </c>
      <c r="BX68">
        <f t="shared" si="27"/>
        <v>0.44222345419787118</v>
      </c>
      <c r="BZ68" t="s">
        <v>173</v>
      </c>
      <c r="CA68" t="s">
        <v>173</v>
      </c>
      <c r="CB68" t="s">
        <v>173</v>
      </c>
      <c r="CC68" t="s">
        <v>173</v>
      </c>
      <c r="CD68" t="s">
        <v>173</v>
      </c>
      <c r="CE68" t="s">
        <v>173</v>
      </c>
      <c r="CF68">
        <v>3.3999999999999998E-3</v>
      </c>
      <c r="CG68" s="31">
        <v>0</v>
      </c>
      <c r="CH68" t="s">
        <v>173</v>
      </c>
      <c r="CI68">
        <v>0</v>
      </c>
      <c r="CJ68">
        <v>4.6399999999999997E-2</v>
      </c>
      <c r="CK68">
        <v>5.79E-2</v>
      </c>
      <c r="CL68">
        <v>0</v>
      </c>
      <c r="CM68">
        <v>1.23E-2</v>
      </c>
      <c r="CN68">
        <v>0</v>
      </c>
      <c r="CO68" t="s">
        <v>173</v>
      </c>
      <c r="CP68" t="s">
        <v>173</v>
      </c>
      <c r="CQ68" t="s">
        <v>173</v>
      </c>
      <c r="CR68" t="s">
        <v>173</v>
      </c>
      <c r="CS68" t="s">
        <v>173</v>
      </c>
      <c r="CT68" t="s">
        <v>173</v>
      </c>
      <c r="CU68">
        <v>1.9900000000000001E-2</v>
      </c>
      <c r="CV68">
        <v>1.8599999999999998E-2</v>
      </c>
      <c r="CW68" t="s">
        <v>173</v>
      </c>
      <c r="CX68">
        <v>0.21190000000000001</v>
      </c>
      <c r="CY68">
        <v>0.62970000000000004</v>
      </c>
      <c r="CZ68" t="s">
        <v>173</v>
      </c>
      <c r="DA68" t="s">
        <v>173</v>
      </c>
      <c r="DB68" t="s">
        <v>173</v>
      </c>
      <c r="DC68" s="24">
        <f t="shared" si="28"/>
        <v>4.6399999999999997E-2</v>
      </c>
      <c r="DD68" s="24">
        <f t="shared" si="29"/>
        <v>3.3999999999999998E-3</v>
      </c>
      <c r="DE68" s="24">
        <f t="shared" ref="DE68:DE131" si="31">CK68+CM68+CN68</f>
        <v>7.0199999999999999E-2</v>
      </c>
      <c r="DG68" s="5">
        <f t="shared" si="30"/>
        <v>244.08233276157804</v>
      </c>
    </row>
    <row r="69" spans="1:111">
      <c r="C69" t="s">
        <v>109</v>
      </c>
      <c r="D69" s="9" t="s">
        <v>110</v>
      </c>
      <c r="G69">
        <v>34.54</v>
      </c>
      <c r="H69">
        <v>2.5099999999999998</v>
      </c>
      <c r="I69">
        <v>6.1</v>
      </c>
      <c r="K69">
        <v>19.317487632287555</v>
      </c>
      <c r="M69">
        <v>0.53</v>
      </c>
      <c r="N69">
        <v>0.84</v>
      </c>
      <c r="O69">
        <v>32.380000000000003</v>
      </c>
      <c r="X69">
        <v>0.17</v>
      </c>
      <c r="AA69">
        <v>0.34</v>
      </c>
      <c r="AD69">
        <v>98.87</v>
      </c>
      <c r="AG69">
        <v>1263</v>
      </c>
      <c r="AH69">
        <v>37.119999999999997</v>
      </c>
      <c r="AI69">
        <v>282</v>
      </c>
      <c r="AJ69">
        <v>68.94</v>
      </c>
      <c r="AK69">
        <v>456.6</v>
      </c>
      <c r="AL69">
        <v>162</v>
      </c>
      <c r="AM69">
        <v>57.34</v>
      </c>
      <c r="AN69">
        <v>162.69999999999999</v>
      </c>
      <c r="AO69">
        <v>24.56</v>
      </c>
      <c r="AP69">
        <v>141.4</v>
      </c>
      <c r="AQ69">
        <v>26.95</v>
      </c>
      <c r="AR69">
        <v>69.650000000000006</v>
      </c>
      <c r="AS69">
        <v>9.5299999999999994</v>
      </c>
      <c r="AT69">
        <v>64.44</v>
      </c>
      <c r="AU69">
        <v>8.66</v>
      </c>
      <c r="AV69">
        <v>5.07</v>
      </c>
      <c r="AW69">
        <v>23.43</v>
      </c>
      <c r="AX69">
        <v>11.4</v>
      </c>
      <c r="AY69">
        <v>167.4</v>
      </c>
      <c r="BA69">
        <v>511</v>
      </c>
      <c r="BB69">
        <v>709</v>
      </c>
      <c r="BG69">
        <f t="shared" si="5"/>
        <v>156.62447257383965</v>
      </c>
      <c r="BH69">
        <f t="shared" si="6"/>
        <v>460.78431372549022</v>
      </c>
      <c r="BI69">
        <f t="shared" si="7"/>
        <v>725.68421052631572</v>
      </c>
      <c r="BJ69">
        <f t="shared" si="8"/>
        <v>977.73019271948613</v>
      </c>
      <c r="BK69">
        <f t="shared" si="9"/>
        <v>1058.8235294117646</v>
      </c>
      <c r="BL69">
        <f t="shared" si="10"/>
        <v>988.62068965517244</v>
      </c>
      <c r="BM69">
        <f t="shared" si="11"/>
        <v>791.72749391727496</v>
      </c>
      <c r="BN69">
        <f t="shared" si="12"/>
        <v>656.68449197860957</v>
      </c>
      <c r="BO69">
        <f t="shared" si="13"/>
        <v>556.69291338582684</v>
      </c>
      <c r="BP69">
        <f t="shared" si="14"/>
        <v>476.14840989399295</v>
      </c>
      <c r="BQ69">
        <f t="shared" si="15"/>
        <v>420.84592145015108</v>
      </c>
      <c r="BR69">
        <f t="shared" si="16"/>
        <v>373.72549019607845</v>
      </c>
      <c r="BS69">
        <f t="shared" si="17"/>
        <v>379.05882352941171</v>
      </c>
      <c r="BT69">
        <f t="shared" si="18"/>
        <v>340.94488188976379</v>
      </c>
      <c r="BU69">
        <f t="shared" si="25"/>
        <v>2.7932960893854752</v>
      </c>
      <c r="BV69">
        <f t="shared" si="26"/>
        <v>6.7602687626774847</v>
      </c>
      <c r="BX69">
        <f t="shared" si="27"/>
        <v>0.41319305303464843</v>
      </c>
      <c r="BZ69" t="s">
        <v>173</v>
      </c>
      <c r="CA69" t="s">
        <v>173</v>
      </c>
      <c r="CB69" t="s">
        <v>173</v>
      </c>
      <c r="CC69" t="s">
        <v>173</v>
      </c>
      <c r="CD69" t="s">
        <v>173</v>
      </c>
      <c r="CE69" t="s">
        <v>173</v>
      </c>
      <c r="CF69">
        <v>3.5000000000000001E-3</v>
      </c>
      <c r="CG69" s="31">
        <v>0</v>
      </c>
      <c r="CH69" t="s">
        <v>173</v>
      </c>
      <c r="CI69">
        <v>0</v>
      </c>
      <c r="CJ69">
        <v>5.8099999999999999E-2</v>
      </c>
      <c r="CK69">
        <v>2.63E-2</v>
      </c>
      <c r="CL69">
        <v>0</v>
      </c>
      <c r="CM69">
        <v>1.47E-2</v>
      </c>
      <c r="CN69">
        <v>0</v>
      </c>
      <c r="CO69" t="s">
        <v>173</v>
      </c>
      <c r="CP69" t="s">
        <v>173</v>
      </c>
      <c r="CQ69" t="s">
        <v>173</v>
      </c>
      <c r="CR69" t="s">
        <v>173</v>
      </c>
      <c r="CS69" t="s">
        <v>173</v>
      </c>
      <c r="CT69" t="s">
        <v>173</v>
      </c>
      <c r="CU69">
        <v>1.9800000000000002E-2</v>
      </c>
      <c r="CV69">
        <v>1.7000000000000001E-2</v>
      </c>
      <c r="CW69" t="s">
        <v>173</v>
      </c>
      <c r="CX69">
        <v>0.20100000000000001</v>
      </c>
      <c r="CY69">
        <v>0.65959999999999996</v>
      </c>
      <c r="CZ69" t="s">
        <v>173</v>
      </c>
      <c r="DA69" t="s">
        <v>173</v>
      </c>
      <c r="DB69" t="s">
        <v>173</v>
      </c>
      <c r="DC69" s="24">
        <f t="shared" si="28"/>
        <v>5.8099999999999999E-2</v>
      </c>
      <c r="DD69" s="24">
        <f t="shared" si="29"/>
        <v>3.5000000000000001E-3</v>
      </c>
      <c r="DE69" s="24">
        <f t="shared" si="31"/>
        <v>4.1000000000000002E-2</v>
      </c>
      <c r="DG69" s="5">
        <f t="shared" si="30"/>
        <v>249.11242603550295</v>
      </c>
    </row>
    <row r="70" spans="1:111">
      <c r="C70" t="s">
        <v>109</v>
      </c>
      <c r="D70" s="9" t="s">
        <v>110</v>
      </c>
      <c r="G70">
        <v>35.07</v>
      </c>
      <c r="H70">
        <v>2.67</v>
      </c>
      <c r="I70">
        <v>5.78</v>
      </c>
      <c r="K70">
        <v>18.984582628843384</v>
      </c>
      <c r="M70">
        <v>0.55000000000000004</v>
      </c>
      <c r="N70">
        <v>0.88</v>
      </c>
      <c r="O70">
        <v>32.340000000000003</v>
      </c>
      <c r="X70">
        <v>0.17</v>
      </c>
      <c r="AA70">
        <v>0.34</v>
      </c>
      <c r="AD70">
        <v>98.9</v>
      </c>
      <c r="AG70">
        <v>1135</v>
      </c>
      <c r="AH70">
        <v>35.159999999999997</v>
      </c>
      <c r="AI70">
        <v>265.39999999999998</v>
      </c>
      <c r="AJ70">
        <v>66.599999999999994</v>
      </c>
      <c r="AK70">
        <v>439.5</v>
      </c>
      <c r="AL70">
        <v>162</v>
      </c>
      <c r="AM70">
        <v>58.25</v>
      </c>
      <c r="AN70">
        <v>157.5</v>
      </c>
      <c r="AO70">
        <v>23.69</v>
      </c>
      <c r="AP70">
        <v>134.6</v>
      </c>
      <c r="AQ70">
        <v>25.36</v>
      </c>
      <c r="AR70">
        <v>64.37</v>
      </c>
      <c r="AS70">
        <v>9.42</v>
      </c>
      <c r="AT70">
        <v>60.33</v>
      </c>
      <c r="AU70">
        <v>7.28</v>
      </c>
      <c r="AV70">
        <v>4.51</v>
      </c>
      <c r="AW70">
        <v>20.059999999999999</v>
      </c>
      <c r="AX70">
        <v>10.27</v>
      </c>
      <c r="AY70">
        <v>103.8</v>
      </c>
      <c r="BA70">
        <v>389</v>
      </c>
      <c r="BB70">
        <v>690</v>
      </c>
      <c r="BG70">
        <f t="shared" si="5"/>
        <v>148.35443037974682</v>
      </c>
      <c r="BH70">
        <f t="shared" si="6"/>
        <v>433.66013071895424</v>
      </c>
      <c r="BI70">
        <f t="shared" si="7"/>
        <v>701.05263157894728</v>
      </c>
      <c r="BJ70">
        <f t="shared" si="8"/>
        <v>941.11349036402567</v>
      </c>
      <c r="BK70">
        <f t="shared" si="9"/>
        <v>1058.8235294117646</v>
      </c>
      <c r="BL70">
        <f t="shared" si="10"/>
        <v>1004.3103448275862</v>
      </c>
      <c r="BM70">
        <f t="shared" si="11"/>
        <v>766.42335766423366</v>
      </c>
      <c r="BN70">
        <f t="shared" si="12"/>
        <v>633.42245989304809</v>
      </c>
      <c r="BO70">
        <f t="shared" si="13"/>
        <v>529.9212598425197</v>
      </c>
      <c r="BP70">
        <f t="shared" si="14"/>
        <v>448.0565371024735</v>
      </c>
      <c r="BQ70">
        <f t="shared" si="15"/>
        <v>388.94259818731121</v>
      </c>
      <c r="BR70">
        <f t="shared" si="16"/>
        <v>369.41176470588238</v>
      </c>
      <c r="BS70">
        <f t="shared" si="17"/>
        <v>354.88235294117641</v>
      </c>
      <c r="BT70">
        <f t="shared" si="18"/>
        <v>286.61417322834649</v>
      </c>
      <c r="BU70">
        <f t="shared" si="25"/>
        <v>2.9835902536051719</v>
      </c>
      <c r="BV70">
        <f>BK70/BG70</f>
        <v>7.1371210600281074</v>
      </c>
      <c r="BX70">
        <f t="shared" si="27"/>
        <v>0.41803834186237299</v>
      </c>
      <c r="BZ70" t="s">
        <v>173</v>
      </c>
      <c r="CA70" t="s">
        <v>173</v>
      </c>
      <c r="CB70" t="s">
        <v>173</v>
      </c>
      <c r="CC70" t="s">
        <v>173</v>
      </c>
      <c r="CD70" t="s">
        <v>173</v>
      </c>
      <c r="CE70" t="s">
        <v>173</v>
      </c>
      <c r="CF70">
        <v>3.5000000000000001E-3</v>
      </c>
      <c r="CG70" s="31">
        <v>0</v>
      </c>
      <c r="CH70" t="s">
        <v>173</v>
      </c>
      <c r="CI70">
        <v>0</v>
      </c>
      <c r="CJ70">
        <v>3.6299999999999999E-2</v>
      </c>
      <c r="CK70">
        <v>7.8700000000000006E-2</v>
      </c>
      <c r="CL70">
        <v>0</v>
      </c>
      <c r="CM70">
        <v>1.5900000000000001E-2</v>
      </c>
      <c r="CN70">
        <v>0</v>
      </c>
      <c r="CO70" t="s">
        <v>173</v>
      </c>
      <c r="CP70" t="s">
        <v>173</v>
      </c>
      <c r="CQ70" t="s">
        <v>173</v>
      </c>
      <c r="CR70" t="s">
        <v>173</v>
      </c>
      <c r="CS70" t="s">
        <v>173</v>
      </c>
      <c r="CT70" t="s">
        <v>173</v>
      </c>
      <c r="CU70">
        <v>2.07E-2</v>
      </c>
      <c r="CV70">
        <v>1.7500000000000002E-2</v>
      </c>
      <c r="CW70" t="s">
        <v>173</v>
      </c>
      <c r="CX70">
        <v>0.20569999999999999</v>
      </c>
      <c r="CY70">
        <v>0.62170000000000003</v>
      </c>
      <c r="CZ70" t="s">
        <v>173</v>
      </c>
      <c r="DA70" t="s">
        <v>173</v>
      </c>
      <c r="DB70" t="s">
        <v>173</v>
      </c>
      <c r="DC70" s="24">
        <f t="shared" si="28"/>
        <v>3.6299999999999999E-2</v>
      </c>
      <c r="DD70" s="24">
        <f t="shared" si="29"/>
        <v>3.5000000000000001E-3</v>
      </c>
      <c r="DE70" s="24">
        <f t="shared" si="31"/>
        <v>9.4600000000000004E-2</v>
      </c>
      <c r="DG70" s="5">
        <f t="shared" si="30"/>
        <v>251.66297117516632</v>
      </c>
    </row>
    <row r="71" spans="1:111">
      <c r="C71" t="s">
        <v>109</v>
      </c>
      <c r="D71" s="9" t="s">
        <v>110</v>
      </c>
      <c r="G71">
        <v>34.99</v>
      </c>
      <c r="H71">
        <v>2.63</v>
      </c>
      <c r="I71">
        <v>6.27</v>
      </c>
      <c r="K71">
        <v>18.849621140960611</v>
      </c>
      <c r="M71">
        <v>0.5</v>
      </c>
      <c r="N71">
        <v>0.86</v>
      </c>
      <c r="O71">
        <v>32.1</v>
      </c>
      <c r="X71">
        <v>0.18</v>
      </c>
      <c r="AA71">
        <v>0.34</v>
      </c>
      <c r="AD71">
        <v>98.8</v>
      </c>
      <c r="AG71">
        <v>1269</v>
      </c>
      <c r="AH71">
        <v>33.659999999999997</v>
      </c>
      <c r="AI71">
        <v>255.5</v>
      </c>
      <c r="AJ71">
        <v>62.69</v>
      </c>
      <c r="AK71">
        <v>418.7</v>
      </c>
      <c r="AL71">
        <v>149.30000000000001</v>
      </c>
      <c r="AM71">
        <v>53.32</v>
      </c>
      <c r="AN71">
        <v>149.80000000000001</v>
      </c>
      <c r="AO71">
        <v>22.74</v>
      </c>
      <c r="AP71">
        <v>132.69999999999999</v>
      </c>
      <c r="AQ71">
        <v>24.92</v>
      </c>
      <c r="AR71">
        <v>66.08</v>
      </c>
      <c r="AS71">
        <v>9.0399999999999991</v>
      </c>
      <c r="AT71">
        <v>60.43</v>
      </c>
      <c r="AU71">
        <v>7.87</v>
      </c>
      <c r="AV71">
        <v>5.98</v>
      </c>
      <c r="AW71">
        <v>22.07</v>
      </c>
      <c r="AX71">
        <v>10.62</v>
      </c>
      <c r="AY71">
        <v>157.80000000000001</v>
      </c>
      <c r="BA71">
        <v>502</v>
      </c>
      <c r="BB71">
        <v>675</v>
      </c>
      <c r="BG71">
        <f t="shared" si="5"/>
        <v>142.02531645569618</v>
      </c>
      <c r="BH71">
        <f t="shared" si="6"/>
        <v>417.48366013071899</v>
      </c>
      <c r="BI71">
        <f t="shared" si="7"/>
        <v>659.8947368421052</v>
      </c>
      <c r="BJ71">
        <f t="shared" si="8"/>
        <v>896.5738758029978</v>
      </c>
      <c r="BK71">
        <f t="shared" si="9"/>
        <v>975.81699346405242</v>
      </c>
      <c r="BL71">
        <f t="shared" si="10"/>
        <v>919.31034482758616</v>
      </c>
      <c r="BM71">
        <f t="shared" si="11"/>
        <v>728.95377128953783</v>
      </c>
      <c r="BN71">
        <f t="shared" si="12"/>
        <v>608.02139037433142</v>
      </c>
      <c r="BO71">
        <f t="shared" si="13"/>
        <v>522.44094488188966</v>
      </c>
      <c r="BP71">
        <f t="shared" si="14"/>
        <v>440.28268551236755</v>
      </c>
      <c r="BQ71">
        <f t="shared" si="15"/>
        <v>399.27492447129907</v>
      </c>
      <c r="BR71">
        <f t="shared" si="16"/>
        <v>354.50980392156862</v>
      </c>
      <c r="BS71">
        <f t="shared" si="17"/>
        <v>355.47058823529409</v>
      </c>
      <c r="BT71">
        <f t="shared" si="18"/>
        <v>309.84251968503941</v>
      </c>
      <c r="BU71">
        <f t="shared" ref="BU71:BU81" si="32">BK71/BS71</f>
        <v>2.7451413021494111</v>
      </c>
      <c r="BV71">
        <f t="shared" ref="BV71:BV81" si="33">BK71/BG71</f>
        <v>6.8707257115561635</v>
      </c>
      <c r="BX71">
        <f t="shared" ref="BX71:BX81" si="34">BG71/BS71</f>
        <v>0.39954168124223655</v>
      </c>
      <c r="BZ71" t="s">
        <v>173</v>
      </c>
      <c r="CA71" t="s">
        <v>173</v>
      </c>
      <c r="CB71" t="s">
        <v>173</v>
      </c>
      <c r="CC71" t="s">
        <v>173</v>
      </c>
      <c r="CD71" t="s">
        <v>173</v>
      </c>
      <c r="CE71" t="s">
        <v>173</v>
      </c>
      <c r="CF71">
        <v>3.7000000000000002E-3</v>
      </c>
      <c r="CG71" s="31">
        <v>0</v>
      </c>
      <c r="CH71" t="s">
        <v>173</v>
      </c>
      <c r="CI71">
        <v>0</v>
      </c>
      <c r="CJ71">
        <v>3.9600000000000003E-2</v>
      </c>
      <c r="CK71">
        <v>8.5500000000000007E-2</v>
      </c>
      <c r="CL71">
        <v>0</v>
      </c>
      <c r="CM71">
        <v>0</v>
      </c>
      <c r="CN71">
        <v>0</v>
      </c>
      <c r="CO71" t="s">
        <v>173</v>
      </c>
      <c r="CP71" t="s">
        <v>173</v>
      </c>
      <c r="CQ71" t="s">
        <v>173</v>
      </c>
      <c r="CR71" t="s">
        <v>173</v>
      </c>
      <c r="CS71" t="s">
        <v>173</v>
      </c>
      <c r="CT71" t="s">
        <v>173</v>
      </c>
      <c r="CU71">
        <v>2.0199999999999999E-2</v>
      </c>
      <c r="CV71">
        <v>2.07E-2</v>
      </c>
      <c r="CW71">
        <v>4.4999999999999997E-3</v>
      </c>
      <c r="CX71">
        <v>0.219</v>
      </c>
      <c r="CY71">
        <v>0.60680000000000001</v>
      </c>
      <c r="CZ71" t="s">
        <v>173</v>
      </c>
      <c r="DA71" t="s">
        <v>173</v>
      </c>
      <c r="DB71" t="s">
        <v>173</v>
      </c>
      <c r="DC71" s="24">
        <f t="shared" si="28"/>
        <v>3.9600000000000003E-2</v>
      </c>
      <c r="DD71" s="24">
        <f t="shared" si="29"/>
        <v>3.7000000000000002E-3</v>
      </c>
      <c r="DE71" s="24">
        <f t="shared" si="31"/>
        <v>8.5500000000000007E-2</v>
      </c>
      <c r="DG71" s="5">
        <f t="shared" si="30"/>
        <v>212.20735785953175</v>
      </c>
    </row>
    <row r="72" spans="1:111" ht="15" thickBot="1">
      <c r="C72" t="s">
        <v>109</v>
      </c>
      <c r="D72" s="9" t="s">
        <v>110</v>
      </c>
      <c r="G72">
        <v>35.31</v>
      </c>
      <c r="H72">
        <v>2.12</v>
      </c>
      <c r="I72">
        <v>4.7699999999999996</v>
      </c>
      <c r="K72">
        <v>20.928028054355316</v>
      </c>
      <c r="M72">
        <v>0.36</v>
      </c>
      <c r="N72">
        <v>0.85</v>
      </c>
      <c r="O72">
        <v>32.409999999999997</v>
      </c>
      <c r="X72">
        <v>0.11</v>
      </c>
      <c r="AA72">
        <v>0.32</v>
      </c>
      <c r="AD72">
        <v>99.52</v>
      </c>
      <c r="AG72">
        <v>1249</v>
      </c>
      <c r="AH72">
        <v>32.25</v>
      </c>
      <c r="AI72">
        <v>251.4</v>
      </c>
      <c r="AJ72">
        <v>64.19</v>
      </c>
      <c r="AK72">
        <v>409.9</v>
      </c>
      <c r="AL72">
        <v>153</v>
      </c>
      <c r="AM72">
        <v>54.06</v>
      </c>
      <c r="AN72">
        <v>147.80000000000001</v>
      </c>
      <c r="AO72">
        <v>22.75</v>
      </c>
      <c r="AP72">
        <v>128.1</v>
      </c>
      <c r="AQ72">
        <v>24.32</v>
      </c>
      <c r="AR72">
        <v>61.65</v>
      </c>
      <c r="AS72">
        <v>8.7899999999999991</v>
      </c>
      <c r="AT72">
        <v>56.18</v>
      </c>
      <c r="AU72">
        <v>7.77</v>
      </c>
      <c r="AV72">
        <v>7.73</v>
      </c>
      <c r="AW72">
        <v>24.21</v>
      </c>
      <c r="AX72">
        <v>11.66</v>
      </c>
      <c r="AY72">
        <v>114.8</v>
      </c>
      <c r="BA72">
        <v>394</v>
      </c>
      <c r="BB72">
        <v>661</v>
      </c>
      <c r="BG72">
        <f t="shared" si="5"/>
        <v>136.07594936708861</v>
      </c>
      <c r="BH72">
        <f t="shared" si="6"/>
        <v>410.78431372549022</v>
      </c>
      <c r="BI72">
        <f t="shared" si="7"/>
        <v>675.68421052631572</v>
      </c>
      <c r="BJ72">
        <f t="shared" si="8"/>
        <v>877.73019271948601</v>
      </c>
      <c r="BK72">
        <f t="shared" si="9"/>
        <v>1000</v>
      </c>
      <c r="BL72">
        <f t="shared" si="10"/>
        <v>932.06896551724139</v>
      </c>
      <c r="BM72">
        <f t="shared" si="11"/>
        <v>719.22141119221419</v>
      </c>
      <c r="BN72">
        <f t="shared" si="12"/>
        <v>608.2887700534759</v>
      </c>
      <c r="BO72">
        <f t="shared" si="13"/>
        <v>504.3307086614173</v>
      </c>
      <c r="BP72">
        <f t="shared" si="14"/>
        <v>429.68197879858661</v>
      </c>
      <c r="BQ72">
        <f t="shared" si="15"/>
        <v>372.50755287009059</v>
      </c>
      <c r="BR72">
        <f t="shared" si="16"/>
        <v>344.70588235294116</v>
      </c>
      <c r="BS72">
        <f t="shared" si="17"/>
        <v>330.47058823529409</v>
      </c>
      <c r="BT72">
        <f t="shared" si="18"/>
        <v>305.90551181102364</v>
      </c>
      <c r="BU72">
        <f t="shared" si="32"/>
        <v>3.0259878960484161</v>
      </c>
      <c r="BV72">
        <f t="shared" si="33"/>
        <v>7.3488372093023253</v>
      </c>
      <c r="BX72">
        <f t="shared" si="34"/>
        <v>0.41176417572810725</v>
      </c>
      <c r="BZ72" t="s">
        <v>173</v>
      </c>
      <c r="CA72" t="s">
        <v>173</v>
      </c>
      <c r="CB72" t="s">
        <v>173</v>
      </c>
      <c r="CC72" t="s">
        <v>173</v>
      </c>
      <c r="CD72" t="s">
        <v>173</v>
      </c>
      <c r="CE72" t="s">
        <v>173</v>
      </c>
      <c r="CF72">
        <v>2.2000000000000001E-3</v>
      </c>
      <c r="CG72" s="31">
        <v>0</v>
      </c>
      <c r="CH72" t="s">
        <v>173</v>
      </c>
      <c r="CI72">
        <v>0</v>
      </c>
      <c r="CJ72">
        <v>2.75E-2</v>
      </c>
      <c r="CK72">
        <v>7.7799999999999994E-2</v>
      </c>
      <c r="CL72">
        <v>0</v>
      </c>
      <c r="CM72">
        <v>0</v>
      </c>
      <c r="CN72">
        <v>0</v>
      </c>
      <c r="CO72" t="s">
        <v>173</v>
      </c>
      <c r="CP72" t="s">
        <v>173</v>
      </c>
      <c r="CQ72" t="s">
        <v>173</v>
      </c>
      <c r="CR72" t="s">
        <v>173</v>
      </c>
      <c r="CS72" t="s">
        <v>173</v>
      </c>
      <c r="CT72" t="s">
        <v>173</v>
      </c>
      <c r="CU72">
        <v>0.02</v>
      </c>
      <c r="CV72">
        <v>1.49E-2</v>
      </c>
      <c r="CW72">
        <v>1.1999999999999999E-3</v>
      </c>
      <c r="CX72">
        <v>0.16830000000000001</v>
      </c>
      <c r="CY72">
        <v>0.68810000000000004</v>
      </c>
      <c r="CZ72" t="s">
        <v>173</v>
      </c>
      <c r="DA72" t="s">
        <v>173</v>
      </c>
      <c r="DB72" t="s">
        <v>173</v>
      </c>
      <c r="DC72" s="24">
        <f t="shared" si="28"/>
        <v>2.75E-2</v>
      </c>
      <c r="DD72" s="24">
        <f t="shared" si="29"/>
        <v>2.2000000000000001E-3</v>
      </c>
      <c r="DE72" s="24">
        <f t="shared" si="31"/>
        <v>7.7799999999999994E-2</v>
      </c>
      <c r="DG72" s="5">
        <f t="shared" si="30"/>
        <v>161.57826649417851</v>
      </c>
    </row>
    <row r="73" spans="1:111" ht="15" thickBot="1">
      <c r="A73" s="17"/>
      <c r="B73" s="20"/>
      <c r="C73" s="80" t="s">
        <v>390</v>
      </c>
      <c r="G73" s="17"/>
      <c r="H73" s="17"/>
      <c r="I73" s="17"/>
      <c r="K73" s="17"/>
      <c r="L73" s="66"/>
      <c r="M73" s="17"/>
      <c r="N73" s="17"/>
      <c r="O73" s="17"/>
      <c r="Q73" s="17"/>
      <c r="R73" s="17"/>
      <c r="T73" s="9"/>
      <c r="U73" s="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Y73" s="21"/>
      <c r="BA73" s="17"/>
      <c r="BB73" s="17"/>
      <c r="BC73" s="17"/>
      <c r="BF73" s="17"/>
      <c r="BG73">
        <f t="shared" si="5"/>
        <v>0</v>
      </c>
      <c r="BH73">
        <f t="shared" si="6"/>
        <v>0</v>
      </c>
      <c r="BI73">
        <f t="shared" si="7"/>
        <v>0</v>
      </c>
      <c r="BJ73">
        <f t="shared" si="8"/>
        <v>0</v>
      </c>
      <c r="BK73">
        <f t="shared" si="9"/>
        <v>0</v>
      </c>
      <c r="BL73">
        <f t="shared" si="10"/>
        <v>0</v>
      </c>
      <c r="BM73">
        <f t="shared" si="11"/>
        <v>0</v>
      </c>
      <c r="BN73">
        <f t="shared" si="12"/>
        <v>0</v>
      </c>
      <c r="BO73">
        <f t="shared" si="13"/>
        <v>0</v>
      </c>
      <c r="BP73">
        <f t="shared" si="14"/>
        <v>0</v>
      </c>
      <c r="BQ73">
        <f t="shared" si="15"/>
        <v>0</v>
      </c>
      <c r="BR73">
        <f t="shared" si="16"/>
        <v>0</v>
      </c>
      <c r="BS73">
        <f t="shared" si="17"/>
        <v>0</v>
      </c>
      <c r="BT73">
        <f t="shared" si="18"/>
        <v>0</v>
      </c>
      <c r="BZ73" t="s">
        <v>173</v>
      </c>
      <c r="CA73" t="s">
        <v>173</v>
      </c>
      <c r="CB73" t="s">
        <v>173</v>
      </c>
      <c r="CC73" t="s">
        <v>173</v>
      </c>
      <c r="CD73" t="s">
        <v>173</v>
      </c>
      <c r="CE73" t="s">
        <v>173</v>
      </c>
      <c r="CJ73">
        <v>0</v>
      </c>
      <c r="CK73">
        <v>0</v>
      </c>
      <c r="CL73">
        <v>0</v>
      </c>
      <c r="CM73">
        <v>0</v>
      </c>
      <c r="CN73">
        <v>0</v>
      </c>
      <c r="CX73">
        <v>0</v>
      </c>
      <c r="DC73" s="24">
        <f t="shared" si="28"/>
        <v>0</v>
      </c>
      <c r="DD73" s="24">
        <f t="shared" si="29"/>
        <v>0</v>
      </c>
      <c r="DE73" s="24">
        <f t="shared" si="31"/>
        <v>0</v>
      </c>
      <c r="DG73" s="5" t="e">
        <f t="shared" si="30"/>
        <v>#DIV/0!</v>
      </c>
    </row>
    <row r="74" spans="1:111" ht="15" thickBot="1">
      <c r="A74" s="79" t="s">
        <v>113</v>
      </c>
      <c r="B74" s="78" t="s">
        <v>111</v>
      </c>
      <c r="C74" s="80"/>
      <c r="D74" s="9" t="s">
        <v>117</v>
      </c>
      <c r="G74" s="19">
        <v>28.51</v>
      </c>
      <c r="H74" s="19">
        <v>16.489999999999998</v>
      </c>
      <c r="I74" s="19">
        <v>2.41</v>
      </c>
      <c r="K74" s="19">
        <v>16.96</v>
      </c>
      <c r="L74" s="19"/>
      <c r="M74" s="19">
        <v>1.28</v>
      </c>
      <c r="N74" s="19">
        <v>0.37</v>
      </c>
      <c r="O74" s="19">
        <v>33.26</v>
      </c>
      <c r="Q74" s="19">
        <v>0.15</v>
      </c>
      <c r="R74" s="19"/>
      <c r="AF74" s="19">
        <v>34.700000000000003</v>
      </c>
      <c r="AG74" s="19">
        <v>2756</v>
      </c>
      <c r="AH74" s="19">
        <v>8.73</v>
      </c>
      <c r="AI74" s="19">
        <v>48.4</v>
      </c>
      <c r="AJ74" s="19">
        <v>10.6</v>
      </c>
      <c r="AK74" s="19">
        <v>78.599999999999994</v>
      </c>
      <c r="AL74" s="19">
        <v>43.5</v>
      </c>
      <c r="AM74" s="19">
        <v>19.399999999999999</v>
      </c>
      <c r="AN74" s="19">
        <v>69.099999999999994</v>
      </c>
      <c r="AO74" s="19">
        <v>11.7</v>
      </c>
      <c r="AP74" s="19">
        <v>75.3</v>
      </c>
      <c r="AQ74" s="19">
        <v>13.7</v>
      </c>
      <c r="AR74" s="19">
        <v>31.7</v>
      </c>
      <c r="AS74" s="19">
        <v>3.68</v>
      </c>
      <c r="AT74" s="19">
        <v>21</v>
      </c>
      <c r="AU74" s="19">
        <v>2.59</v>
      </c>
      <c r="AV74" s="19">
        <v>114</v>
      </c>
      <c r="AY74" s="22">
        <v>18</v>
      </c>
      <c r="BA74" s="19">
        <v>221</v>
      </c>
      <c r="BB74" s="19">
        <v>298</v>
      </c>
      <c r="BC74" s="19">
        <v>948</v>
      </c>
      <c r="BF74" s="19">
        <v>4.5199999999999996</v>
      </c>
      <c r="BG74">
        <f t="shared" si="5"/>
        <v>36.835443037974684</v>
      </c>
      <c r="BH74">
        <f t="shared" si="6"/>
        <v>79.084967320261441</v>
      </c>
      <c r="BI74">
        <f t="shared" si="7"/>
        <v>111.57894736842104</v>
      </c>
      <c r="BJ74">
        <f t="shared" si="8"/>
        <v>168.30835117773017</v>
      </c>
      <c r="BK74">
        <f t="shared" si="9"/>
        <v>284.31372549019608</v>
      </c>
      <c r="BL74">
        <f t="shared" si="10"/>
        <v>334.48275862068959</v>
      </c>
      <c r="BM74">
        <f t="shared" si="11"/>
        <v>336.25304136253038</v>
      </c>
      <c r="BN74">
        <f t="shared" si="12"/>
        <v>312.83422459893046</v>
      </c>
      <c r="BO74">
        <f t="shared" si="13"/>
        <v>296.45669291338584</v>
      </c>
      <c r="BP74">
        <f t="shared" si="14"/>
        <v>242.0494699646643</v>
      </c>
      <c r="BQ74">
        <f t="shared" si="15"/>
        <v>191.54078549848941</v>
      </c>
      <c r="BR74">
        <f t="shared" si="16"/>
        <v>144.31372549019611</v>
      </c>
      <c r="BS74">
        <f t="shared" si="17"/>
        <v>123.52941176470587</v>
      </c>
      <c r="BT74">
        <f t="shared" si="18"/>
        <v>101.96850393700787</v>
      </c>
      <c r="BU74">
        <f t="shared" si="32"/>
        <v>2.3015873015873018</v>
      </c>
      <c r="BV74">
        <f t="shared" si="33"/>
        <v>7.718482582036251</v>
      </c>
      <c r="BX74">
        <f t="shared" si="34"/>
        <v>0.29819168173598559</v>
      </c>
      <c r="BZ74" t="s">
        <v>173</v>
      </c>
      <c r="CA74" t="s">
        <v>173</v>
      </c>
      <c r="CB74" t="s">
        <v>173</v>
      </c>
      <c r="CC74" t="s">
        <v>173</v>
      </c>
      <c r="CD74" t="s">
        <v>173</v>
      </c>
      <c r="CE74" t="s">
        <v>173</v>
      </c>
      <c r="CF74">
        <v>0</v>
      </c>
      <c r="CG74" s="31">
        <v>0</v>
      </c>
      <c r="CH74" t="s">
        <v>173</v>
      </c>
      <c r="CI74">
        <v>0.19489999999999999</v>
      </c>
      <c r="CJ74">
        <v>0.1182</v>
      </c>
      <c r="CK74">
        <v>0.20610000000000001</v>
      </c>
      <c r="CL74">
        <v>1.21E-2</v>
      </c>
      <c r="CM74">
        <v>0.15890000000000001</v>
      </c>
      <c r="CN74">
        <v>0</v>
      </c>
      <c r="CO74" t="s">
        <v>173</v>
      </c>
      <c r="CP74" t="s">
        <v>173</v>
      </c>
      <c r="CQ74" t="s">
        <v>173</v>
      </c>
      <c r="CR74" t="s">
        <v>173</v>
      </c>
      <c r="CS74" t="s">
        <v>173</v>
      </c>
      <c r="CT74" t="s">
        <v>173</v>
      </c>
      <c r="CU74" t="s">
        <v>173</v>
      </c>
      <c r="CV74" t="s">
        <v>173</v>
      </c>
      <c r="CW74" t="s">
        <v>173</v>
      </c>
      <c r="CX74">
        <v>0</v>
      </c>
      <c r="CY74">
        <v>0.29239999999999999</v>
      </c>
      <c r="CZ74" t="s">
        <v>173</v>
      </c>
      <c r="DA74" t="s">
        <v>173</v>
      </c>
      <c r="DB74" t="s">
        <v>173</v>
      </c>
      <c r="DC74" s="24">
        <f t="shared" si="28"/>
        <v>0.31309999999999999</v>
      </c>
      <c r="DD74" s="24">
        <f t="shared" si="29"/>
        <v>0</v>
      </c>
      <c r="DE74" s="24">
        <f t="shared" si="31"/>
        <v>0.36499999999999999</v>
      </c>
      <c r="DG74" s="5">
        <f t="shared" si="30"/>
        <v>24.17543859649123</v>
      </c>
    </row>
    <row r="75" spans="1:111" ht="15" thickBot="1">
      <c r="A75" s="79"/>
      <c r="B75" s="78"/>
      <c r="C75" s="80"/>
      <c r="D75" s="9" t="s">
        <v>117</v>
      </c>
      <c r="G75" s="19">
        <v>28.59</v>
      </c>
      <c r="H75" s="19">
        <v>16.62</v>
      </c>
      <c r="I75" s="19">
        <v>2.39</v>
      </c>
      <c r="K75" s="19">
        <v>16.8</v>
      </c>
      <c r="L75" s="19"/>
      <c r="M75" s="19">
        <v>1.26</v>
      </c>
      <c r="N75" s="19">
        <v>0.28000000000000003</v>
      </c>
      <c r="O75" s="19">
        <v>33.43</v>
      </c>
      <c r="Q75" s="19">
        <v>0.14000000000000001</v>
      </c>
      <c r="R75" s="19"/>
      <c r="AF75" s="19">
        <v>35.9</v>
      </c>
      <c r="AG75" s="19">
        <v>1521</v>
      </c>
      <c r="AH75" s="19">
        <v>23.6</v>
      </c>
      <c r="AI75" s="19">
        <v>83.9</v>
      </c>
      <c r="AJ75" s="19">
        <v>15.4</v>
      </c>
      <c r="AK75" s="19">
        <v>102</v>
      </c>
      <c r="AL75" s="19">
        <v>46.6</v>
      </c>
      <c r="AM75" s="19">
        <v>20.399999999999999</v>
      </c>
      <c r="AN75" s="19">
        <v>71.3</v>
      </c>
      <c r="AO75" s="19">
        <v>11.7</v>
      </c>
      <c r="AP75" s="19">
        <v>72</v>
      </c>
      <c r="AQ75" s="19">
        <v>12.2</v>
      </c>
      <c r="AR75" s="19">
        <v>29.5</v>
      </c>
      <c r="AS75" s="19">
        <v>3.33</v>
      </c>
      <c r="AT75" s="19">
        <v>17.899999999999999</v>
      </c>
      <c r="AU75" s="19">
        <v>2.37</v>
      </c>
      <c r="AV75" s="19">
        <v>39.299999999999997</v>
      </c>
      <c r="AY75" s="22">
        <v>24.5</v>
      </c>
      <c r="BA75" s="19">
        <v>262</v>
      </c>
      <c r="BB75" s="19">
        <v>275</v>
      </c>
      <c r="BC75" s="19">
        <v>979</v>
      </c>
      <c r="BF75" s="19">
        <v>4.49</v>
      </c>
      <c r="BG75">
        <f t="shared" si="5"/>
        <v>99.578059071729967</v>
      </c>
      <c r="BH75">
        <f t="shared" si="6"/>
        <v>137.09150326797388</v>
      </c>
      <c r="BI75">
        <f t="shared" si="7"/>
        <v>162.10526315789474</v>
      </c>
      <c r="BJ75">
        <f t="shared" si="8"/>
        <v>218.4154175588865</v>
      </c>
      <c r="BK75">
        <f t="shared" si="9"/>
        <v>304.57516339869284</v>
      </c>
      <c r="BL75">
        <f t="shared" si="10"/>
        <v>351.72413793103442</v>
      </c>
      <c r="BM75">
        <f t="shared" si="11"/>
        <v>346.95863746958639</v>
      </c>
      <c r="BN75">
        <f t="shared" si="12"/>
        <v>312.83422459893046</v>
      </c>
      <c r="BO75">
        <f t="shared" si="13"/>
        <v>283.46456692913387</v>
      </c>
      <c r="BP75">
        <f t="shared" si="14"/>
        <v>215.54770318021201</v>
      </c>
      <c r="BQ75">
        <f t="shared" si="15"/>
        <v>178.24773413897279</v>
      </c>
      <c r="BR75">
        <f t="shared" si="16"/>
        <v>130.58823529411765</v>
      </c>
      <c r="BS75">
        <f t="shared" si="17"/>
        <v>105.29411764705881</v>
      </c>
      <c r="BT75">
        <f t="shared" si="18"/>
        <v>93.30708661417323</v>
      </c>
      <c r="BU75">
        <f t="shared" si="32"/>
        <v>2.8926132836747369</v>
      </c>
      <c r="BV75">
        <f t="shared" si="33"/>
        <v>3.0586573612495846</v>
      </c>
      <c r="BX75">
        <f t="shared" si="34"/>
        <v>0.94571341017844113</v>
      </c>
      <c r="BZ75" t="s">
        <v>173</v>
      </c>
      <c r="CA75" t="s">
        <v>173</v>
      </c>
      <c r="CB75" t="s">
        <v>173</v>
      </c>
      <c r="CC75" t="s">
        <v>173</v>
      </c>
      <c r="CD75" t="s">
        <v>173</v>
      </c>
      <c r="CE75" t="s">
        <v>173</v>
      </c>
      <c r="CF75">
        <v>0</v>
      </c>
      <c r="CG75" s="31">
        <v>0</v>
      </c>
      <c r="CH75" t="s">
        <v>173</v>
      </c>
      <c r="CI75">
        <v>0.19359999999999999</v>
      </c>
      <c r="CJ75">
        <v>0.1172</v>
      </c>
      <c r="CK75">
        <v>0.2177</v>
      </c>
      <c r="CL75">
        <v>1.1299999999999999E-2</v>
      </c>
      <c r="CM75">
        <v>0.15629999999999999</v>
      </c>
      <c r="CN75">
        <v>0</v>
      </c>
      <c r="CO75" t="s">
        <v>173</v>
      </c>
      <c r="CP75" t="s">
        <v>173</v>
      </c>
      <c r="CQ75" t="s">
        <v>173</v>
      </c>
      <c r="CR75" t="s">
        <v>173</v>
      </c>
      <c r="CS75" t="s">
        <v>173</v>
      </c>
      <c r="CT75" t="s">
        <v>173</v>
      </c>
      <c r="CU75" t="s">
        <v>173</v>
      </c>
      <c r="CV75" t="s">
        <v>173</v>
      </c>
      <c r="CW75" t="s">
        <v>173</v>
      </c>
      <c r="CX75">
        <v>0</v>
      </c>
      <c r="CY75">
        <v>0.28189999999999998</v>
      </c>
      <c r="CZ75" t="s">
        <v>173</v>
      </c>
      <c r="DA75" t="s">
        <v>173</v>
      </c>
      <c r="DB75" t="s">
        <v>173</v>
      </c>
      <c r="DC75" s="24">
        <f t="shared" si="28"/>
        <v>0.31079999999999997</v>
      </c>
      <c r="DD75" s="24">
        <f t="shared" si="29"/>
        <v>0</v>
      </c>
      <c r="DE75" s="24">
        <f t="shared" si="31"/>
        <v>0.374</v>
      </c>
      <c r="DG75" s="5">
        <f t="shared" si="30"/>
        <v>38.702290076335878</v>
      </c>
    </row>
    <row r="76" spans="1:111" ht="15" thickBot="1">
      <c r="A76" s="79" t="s">
        <v>114</v>
      </c>
      <c r="B76" s="78"/>
      <c r="C76" s="80"/>
      <c r="D76" s="9" t="s">
        <v>117</v>
      </c>
      <c r="G76" s="19">
        <v>28.62</v>
      </c>
      <c r="H76" s="19">
        <v>16.46</v>
      </c>
      <c r="I76" s="19">
        <v>2.4</v>
      </c>
      <c r="K76" s="19">
        <v>16.96</v>
      </c>
      <c r="L76" s="19"/>
      <c r="M76" s="19">
        <v>1.25</v>
      </c>
      <c r="N76" s="19">
        <v>0.35</v>
      </c>
      <c r="O76" s="19">
        <v>33.4</v>
      </c>
      <c r="Q76" s="19">
        <v>0.13</v>
      </c>
      <c r="R76" s="19"/>
      <c r="AF76" s="19">
        <v>26.5</v>
      </c>
      <c r="AG76" s="19">
        <v>2127</v>
      </c>
      <c r="AH76" s="19">
        <v>6.14</v>
      </c>
      <c r="AI76" s="19">
        <v>33</v>
      </c>
      <c r="AJ76" s="19">
        <v>7.6</v>
      </c>
      <c r="AK76" s="19">
        <v>58.7</v>
      </c>
      <c r="AL76" s="19">
        <v>35.200000000000003</v>
      </c>
      <c r="AM76" s="19">
        <v>15.5</v>
      </c>
      <c r="AN76" s="19">
        <v>63</v>
      </c>
      <c r="AO76" s="19">
        <v>11.3</v>
      </c>
      <c r="AP76" s="19">
        <v>79.8</v>
      </c>
      <c r="AQ76" s="19">
        <v>14.2</v>
      </c>
      <c r="AR76" s="19">
        <v>35.799999999999997</v>
      </c>
      <c r="AS76" s="19">
        <v>4.04</v>
      </c>
      <c r="AT76" s="19">
        <v>22.7</v>
      </c>
      <c r="AU76" s="19">
        <v>2.87</v>
      </c>
      <c r="AV76" s="19">
        <v>66.900000000000006</v>
      </c>
      <c r="AY76" s="22">
        <v>10.8</v>
      </c>
      <c r="BA76" s="19">
        <v>147</v>
      </c>
      <c r="BB76" s="19">
        <v>314</v>
      </c>
      <c r="BC76" s="19">
        <v>980</v>
      </c>
      <c r="BF76" s="19">
        <v>5.74</v>
      </c>
      <c r="BG76">
        <f t="shared" si="5"/>
        <v>25.907172995780591</v>
      </c>
      <c r="BH76">
        <f t="shared" si="6"/>
        <v>53.921568627450981</v>
      </c>
      <c r="BI76">
        <f t="shared" si="7"/>
        <v>80</v>
      </c>
      <c r="BJ76">
        <f t="shared" si="8"/>
        <v>125.69593147751605</v>
      </c>
      <c r="BK76">
        <f t="shared" si="9"/>
        <v>230.06535947712422</v>
      </c>
      <c r="BL76">
        <f t="shared" si="10"/>
        <v>267.24137931034483</v>
      </c>
      <c r="BM76">
        <f t="shared" si="11"/>
        <v>306.56934306569343</v>
      </c>
      <c r="BN76">
        <f t="shared" si="12"/>
        <v>302.13903743315507</v>
      </c>
      <c r="BO76">
        <f t="shared" si="13"/>
        <v>314.17322834645665</v>
      </c>
      <c r="BP76">
        <f t="shared" si="14"/>
        <v>250.8833922261484</v>
      </c>
      <c r="BQ76">
        <f t="shared" si="15"/>
        <v>216.31419939577037</v>
      </c>
      <c r="BR76">
        <f t="shared" si="16"/>
        <v>158.43137254901961</v>
      </c>
      <c r="BS76">
        <f t="shared" si="17"/>
        <v>133.52941176470586</v>
      </c>
      <c r="BT76">
        <f t="shared" si="18"/>
        <v>112.99212598425197</v>
      </c>
      <c r="BU76">
        <f t="shared" si="32"/>
        <v>1.7229564366128249</v>
      </c>
      <c r="BV76">
        <f t="shared" si="33"/>
        <v>8.880372996103981</v>
      </c>
      <c r="BX76">
        <f t="shared" si="34"/>
        <v>0.19401847617985468</v>
      </c>
      <c r="BZ76" t="s">
        <v>173</v>
      </c>
      <c r="CA76" t="s">
        <v>173</v>
      </c>
      <c r="CB76" t="s">
        <v>173</v>
      </c>
      <c r="CC76" t="s">
        <v>173</v>
      </c>
      <c r="CD76" t="s">
        <v>173</v>
      </c>
      <c r="CE76" t="s">
        <v>173</v>
      </c>
      <c r="CF76">
        <v>0</v>
      </c>
      <c r="CG76" s="31">
        <v>0</v>
      </c>
      <c r="CH76" t="s">
        <v>173</v>
      </c>
      <c r="CI76">
        <v>0.19259999999999999</v>
      </c>
      <c r="CJ76">
        <v>0.1176</v>
      </c>
      <c r="CK76">
        <v>0.2122</v>
      </c>
      <c r="CL76">
        <v>1.0500000000000001E-2</v>
      </c>
      <c r="CM76">
        <v>0.15490000000000001</v>
      </c>
      <c r="CN76">
        <v>0</v>
      </c>
      <c r="CO76" t="s">
        <v>173</v>
      </c>
      <c r="CP76" t="s">
        <v>173</v>
      </c>
      <c r="CQ76" t="s">
        <v>173</v>
      </c>
      <c r="CR76" t="s">
        <v>173</v>
      </c>
      <c r="CS76" t="s">
        <v>173</v>
      </c>
      <c r="CT76" t="s">
        <v>173</v>
      </c>
      <c r="CU76" t="s">
        <v>173</v>
      </c>
      <c r="CV76" t="s">
        <v>173</v>
      </c>
      <c r="CW76" t="s">
        <v>173</v>
      </c>
      <c r="CX76">
        <v>0</v>
      </c>
      <c r="CY76">
        <v>0.29099999999999998</v>
      </c>
      <c r="CZ76" t="s">
        <v>173</v>
      </c>
      <c r="DA76" t="s">
        <v>173</v>
      </c>
      <c r="DB76" t="s">
        <v>173</v>
      </c>
      <c r="DC76" s="24">
        <f t="shared" si="28"/>
        <v>0.31019999999999998</v>
      </c>
      <c r="DD76" s="24">
        <f t="shared" si="29"/>
        <v>0</v>
      </c>
      <c r="DE76" s="24">
        <f t="shared" si="31"/>
        <v>0.36709999999999998</v>
      </c>
      <c r="DG76" s="5">
        <f t="shared" si="30"/>
        <v>31.793721973094168</v>
      </c>
    </row>
    <row r="77" spans="1:111" ht="15" thickBot="1">
      <c r="A77" s="79"/>
      <c r="B77" s="78"/>
      <c r="C77" s="80"/>
      <c r="D77" s="9" t="s">
        <v>117</v>
      </c>
      <c r="G77" s="19">
        <v>28.55</v>
      </c>
      <c r="H77" s="19">
        <v>16.52</v>
      </c>
      <c r="I77" s="19">
        <v>2.36</v>
      </c>
      <c r="K77" s="19">
        <v>16.940000000000001</v>
      </c>
      <c r="L77" s="19"/>
      <c r="M77" s="19">
        <v>1.32</v>
      </c>
      <c r="N77" s="19">
        <v>0.34</v>
      </c>
      <c r="O77" s="19">
        <v>33.25</v>
      </c>
      <c r="Q77" s="19">
        <v>0.16</v>
      </c>
      <c r="R77" s="19"/>
      <c r="AF77" s="19">
        <v>32.299999999999997</v>
      </c>
      <c r="AG77" s="19">
        <v>1935</v>
      </c>
      <c r="AH77" s="19">
        <v>12.2</v>
      </c>
      <c r="AI77" s="19">
        <v>66.900000000000006</v>
      </c>
      <c r="AJ77" s="19">
        <v>14.8</v>
      </c>
      <c r="AK77" s="19">
        <v>108</v>
      </c>
      <c r="AL77" s="19">
        <v>56.5</v>
      </c>
      <c r="AM77" s="19">
        <v>24.7</v>
      </c>
      <c r="AN77" s="19">
        <v>86.6</v>
      </c>
      <c r="AO77" s="19">
        <v>14.3</v>
      </c>
      <c r="AP77" s="19">
        <v>90.3</v>
      </c>
      <c r="AQ77" s="19">
        <v>15.1</v>
      </c>
      <c r="AR77" s="19">
        <v>34.200000000000003</v>
      </c>
      <c r="AS77" s="19">
        <v>3.76</v>
      </c>
      <c r="AT77" s="19">
        <v>20.7</v>
      </c>
      <c r="AU77" s="19">
        <v>2.66</v>
      </c>
      <c r="AV77" s="19">
        <v>44.9</v>
      </c>
      <c r="AY77" s="22">
        <v>20.7</v>
      </c>
      <c r="BA77" s="19">
        <v>222</v>
      </c>
      <c r="BB77" s="19">
        <v>326</v>
      </c>
      <c r="BC77" s="19">
        <v>1012</v>
      </c>
      <c r="BF77" s="19">
        <v>4.5</v>
      </c>
      <c r="BG77">
        <f t="shared" si="5"/>
        <v>51.47679324894515</v>
      </c>
      <c r="BH77">
        <f t="shared" si="6"/>
        <v>109.31372549019609</v>
      </c>
      <c r="BI77">
        <f t="shared" si="7"/>
        <v>155.78947368421052</v>
      </c>
      <c r="BJ77">
        <f t="shared" si="8"/>
        <v>231.26338329764454</v>
      </c>
      <c r="BK77">
        <f t="shared" si="9"/>
        <v>369.281045751634</v>
      </c>
      <c r="BL77">
        <f t="shared" si="10"/>
        <v>425.86206896551721</v>
      </c>
      <c r="BM77">
        <f t="shared" si="11"/>
        <v>421.41119221411191</v>
      </c>
      <c r="BN77">
        <f t="shared" si="12"/>
        <v>382.35294117647055</v>
      </c>
      <c r="BO77">
        <f t="shared" si="13"/>
        <v>355.51181102362204</v>
      </c>
      <c r="BP77">
        <f t="shared" si="14"/>
        <v>266.78445229681978</v>
      </c>
      <c r="BQ77">
        <f t="shared" si="15"/>
        <v>206.64652567975833</v>
      </c>
      <c r="BR77">
        <f t="shared" si="16"/>
        <v>147.45098039215685</v>
      </c>
      <c r="BS77">
        <f t="shared" si="17"/>
        <v>121.76470588235293</v>
      </c>
      <c r="BT77">
        <f t="shared" si="18"/>
        <v>104.7244094488189</v>
      </c>
      <c r="BU77">
        <f t="shared" si="32"/>
        <v>3.0327428878153522</v>
      </c>
      <c r="BV77">
        <f t="shared" si="33"/>
        <v>7.1737383477981354</v>
      </c>
      <c r="BX77">
        <f t="shared" si="34"/>
        <v>0.4227562730589699</v>
      </c>
      <c r="BZ77" t="s">
        <v>173</v>
      </c>
      <c r="CA77" t="s">
        <v>173</v>
      </c>
      <c r="CB77" t="s">
        <v>173</v>
      </c>
      <c r="CC77" t="s">
        <v>173</v>
      </c>
      <c r="CD77" t="s">
        <v>173</v>
      </c>
      <c r="CE77" t="s">
        <v>173</v>
      </c>
      <c r="CF77">
        <v>0</v>
      </c>
      <c r="CG77" s="31">
        <v>0</v>
      </c>
      <c r="CH77" t="s">
        <v>173</v>
      </c>
      <c r="CI77">
        <v>0.1961</v>
      </c>
      <c r="CJ77">
        <v>0.1157</v>
      </c>
      <c r="CK77">
        <v>0.20610000000000001</v>
      </c>
      <c r="CL77">
        <v>1.29E-2</v>
      </c>
      <c r="CM77">
        <v>0.1638</v>
      </c>
      <c r="CN77">
        <v>0</v>
      </c>
      <c r="CO77" t="s">
        <v>173</v>
      </c>
      <c r="CP77" t="s">
        <v>173</v>
      </c>
      <c r="CQ77" t="s">
        <v>173</v>
      </c>
      <c r="CR77" t="s">
        <v>173</v>
      </c>
      <c r="CS77" t="s">
        <v>173</v>
      </c>
      <c r="CT77" t="s">
        <v>173</v>
      </c>
      <c r="CU77" t="s">
        <v>173</v>
      </c>
      <c r="CV77" t="s">
        <v>173</v>
      </c>
      <c r="CW77" t="s">
        <v>173</v>
      </c>
      <c r="CX77">
        <v>0</v>
      </c>
      <c r="CY77">
        <v>0.29039999999999999</v>
      </c>
      <c r="CZ77" t="s">
        <v>173</v>
      </c>
      <c r="DA77" t="s">
        <v>173</v>
      </c>
      <c r="DB77" t="s">
        <v>173</v>
      </c>
      <c r="DC77" s="24">
        <f t="shared" si="28"/>
        <v>0.31179999999999997</v>
      </c>
      <c r="DD77" s="24">
        <f t="shared" si="29"/>
        <v>0</v>
      </c>
      <c r="DE77" s="24">
        <f t="shared" si="31"/>
        <v>0.36990000000000001</v>
      </c>
      <c r="DG77" s="5">
        <f t="shared" si="30"/>
        <v>43.095768374164813</v>
      </c>
    </row>
    <row r="78" spans="1:111" ht="15" thickBot="1">
      <c r="A78" s="79" t="s">
        <v>115</v>
      </c>
      <c r="B78" s="78" t="s">
        <v>112</v>
      </c>
      <c r="C78" s="80"/>
      <c r="D78" s="9" t="s">
        <v>117</v>
      </c>
      <c r="G78" s="19">
        <v>29.33</v>
      </c>
      <c r="H78" s="19">
        <v>14.32</v>
      </c>
      <c r="I78" s="19">
        <v>2.68</v>
      </c>
      <c r="K78" s="19">
        <v>17.399999999999999</v>
      </c>
      <c r="L78" s="19"/>
      <c r="M78" s="19">
        <v>1</v>
      </c>
      <c r="N78" s="19">
        <v>0.34</v>
      </c>
      <c r="O78" s="19">
        <v>34.119999999999997</v>
      </c>
      <c r="Q78" s="19">
        <v>0.13</v>
      </c>
      <c r="R78" s="19"/>
      <c r="Y78" s="19"/>
      <c r="Z78" s="18"/>
      <c r="AF78" s="19">
        <v>29.4</v>
      </c>
      <c r="AG78" s="19">
        <v>4006</v>
      </c>
      <c r="AH78" s="19">
        <v>11.5</v>
      </c>
      <c r="AI78" s="19">
        <v>65.8</v>
      </c>
      <c r="AJ78" s="19">
        <v>13.9</v>
      </c>
      <c r="AK78" s="19">
        <v>91.5</v>
      </c>
      <c r="AL78" s="19">
        <v>41.1</v>
      </c>
      <c r="AM78" s="19">
        <v>18.100000000000001</v>
      </c>
      <c r="AN78" s="19">
        <v>61.4</v>
      </c>
      <c r="AO78" s="19">
        <v>10.199999999999999</v>
      </c>
      <c r="AP78" s="19">
        <v>67.900000000000006</v>
      </c>
      <c r="AQ78" s="19">
        <v>13.4</v>
      </c>
      <c r="AR78" s="19">
        <v>35.6</v>
      </c>
      <c r="AS78" s="19">
        <v>5.13</v>
      </c>
      <c r="AT78" s="19">
        <v>33.299999999999997</v>
      </c>
      <c r="AU78" s="19">
        <v>4.37</v>
      </c>
      <c r="AV78" s="19">
        <v>85.1</v>
      </c>
      <c r="AY78" s="22">
        <v>12.6</v>
      </c>
      <c r="BA78" s="19">
        <v>235</v>
      </c>
      <c r="BB78" s="19">
        <v>388</v>
      </c>
      <c r="BC78" s="19">
        <v>1416</v>
      </c>
      <c r="BF78" s="19">
        <v>2.5</v>
      </c>
      <c r="BG78">
        <f t="shared" ref="BG78:BG141" si="35">AH78/BG$2</f>
        <v>48.523206751054857</v>
      </c>
      <c r="BH78">
        <f t="shared" ref="BH78:BH141" si="36">AI78/BH$2</f>
        <v>107.51633986928104</v>
      </c>
      <c r="BI78">
        <f t="shared" ref="BI78:BI141" si="37">AJ78/BI$2</f>
        <v>146.31578947368422</v>
      </c>
      <c r="BJ78">
        <f t="shared" ref="BJ78:BJ141" si="38">AK78/BJ$2</f>
        <v>195.93147751605994</v>
      </c>
      <c r="BK78">
        <f t="shared" ref="BK78:BK141" si="39">AL78/BK$2</f>
        <v>268.62745098039215</v>
      </c>
      <c r="BL78">
        <f t="shared" ref="BL78:BL141" si="40">AM78/BL$2</f>
        <v>312.06896551724139</v>
      </c>
      <c r="BM78">
        <f t="shared" ref="BM78:BM141" si="41">AN78/BM$2</f>
        <v>298.78345498783455</v>
      </c>
      <c r="BN78">
        <f t="shared" ref="BN78:BN141" si="42">AO78/BN$2</f>
        <v>272.72727272727269</v>
      </c>
      <c r="BO78">
        <f t="shared" ref="BO78:BO141" si="43">AP78/BO$2</f>
        <v>267.32283464566933</v>
      </c>
      <c r="BP78">
        <f t="shared" ref="BP78:BP141" si="44">AQ78/BP$2</f>
        <v>236.74911660777386</v>
      </c>
      <c r="BQ78">
        <f t="shared" ref="BQ78:BQ141" si="45">AR78/BQ$2</f>
        <v>215.10574018126889</v>
      </c>
      <c r="BR78">
        <f t="shared" ref="BR78:BR141" si="46">AS78/BR$2</f>
        <v>201.1764705882353</v>
      </c>
      <c r="BS78">
        <f t="shared" ref="BS78:BS141" si="47">AT78/BS$2</f>
        <v>195.88235294117644</v>
      </c>
      <c r="BT78">
        <f t="shared" ref="BT78:BT141" si="48">AU78/BT$2</f>
        <v>172.04724409448821</v>
      </c>
      <c r="BU78">
        <f t="shared" si="32"/>
        <v>1.3713713713713716</v>
      </c>
      <c r="BV78">
        <f t="shared" si="33"/>
        <v>5.5360613810741679</v>
      </c>
      <c r="BX78">
        <f t="shared" si="34"/>
        <v>0.24771607050088071</v>
      </c>
      <c r="BZ78" t="s">
        <v>173</v>
      </c>
      <c r="CA78" t="s">
        <v>173</v>
      </c>
      <c r="CB78" t="s">
        <v>173</v>
      </c>
      <c r="CC78" t="s">
        <v>173</v>
      </c>
      <c r="CD78" t="s">
        <v>173</v>
      </c>
      <c r="CE78" t="s">
        <v>173</v>
      </c>
      <c r="CF78">
        <v>0</v>
      </c>
      <c r="CG78" s="31">
        <v>0</v>
      </c>
      <c r="CH78" t="s">
        <v>173</v>
      </c>
      <c r="CI78">
        <v>0.152</v>
      </c>
      <c r="CJ78">
        <v>0.13109999999999999</v>
      </c>
      <c r="CK78">
        <v>0.1048</v>
      </c>
      <c r="CL78">
        <v>1.0500000000000001E-2</v>
      </c>
      <c r="CM78">
        <v>0.1237</v>
      </c>
      <c r="CN78">
        <v>0</v>
      </c>
      <c r="CO78" t="s">
        <v>173</v>
      </c>
      <c r="CP78" t="s">
        <v>173</v>
      </c>
      <c r="CQ78" t="s">
        <v>173</v>
      </c>
      <c r="CR78" t="s">
        <v>173</v>
      </c>
      <c r="CS78" t="s">
        <v>173</v>
      </c>
      <c r="CT78" t="s">
        <v>173</v>
      </c>
      <c r="CU78" t="s">
        <v>173</v>
      </c>
      <c r="CV78" t="s">
        <v>173</v>
      </c>
      <c r="CW78" t="s">
        <v>173</v>
      </c>
      <c r="CX78">
        <v>0</v>
      </c>
      <c r="CY78">
        <v>0.39950000000000002</v>
      </c>
      <c r="CZ78" t="s">
        <v>173</v>
      </c>
      <c r="DA78" t="s">
        <v>173</v>
      </c>
      <c r="DB78" t="s">
        <v>173</v>
      </c>
      <c r="DC78" s="24">
        <f t="shared" si="28"/>
        <v>0.28310000000000002</v>
      </c>
      <c r="DD78" s="24">
        <f t="shared" si="29"/>
        <v>0</v>
      </c>
      <c r="DE78" s="24">
        <f t="shared" si="31"/>
        <v>0.22850000000000001</v>
      </c>
      <c r="DG78" s="5">
        <f t="shared" si="30"/>
        <v>47.074030552291426</v>
      </c>
    </row>
    <row r="79" spans="1:111" ht="14.5" customHeight="1" thickBot="1">
      <c r="A79" s="79"/>
      <c r="B79" s="78"/>
      <c r="C79" s="80"/>
      <c r="D79" s="9" t="s">
        <v>117</v>
      </c>
      <c r="G79" s="19">
        <v>29.34</v>
      </c>
      <c r="H79" s="19">
        <v>13.67</v>
      </c>
      <c r="I79" s="19">
        <v>2.54</v>
      </c>
      <c r="K79" s="19">
        <v>18.07</v>
      </c>
      <c r="L79" s="19"/>
      <c r="M79" s="19">
        <v>1.08</v>
      </c>
      <c r="N79" s="19">
        <v>0.37</v>
      </c>
      <c r="O79" s="19">
        <v>33.96</v>
      </c>
      <c r="Q79" s="19">
        <v>0.19</v>
      </c>
      <c r="R79" s="19"/>
      <c r="Y79" s="19"/>
      <c r="Z79" s="18"/>
      <c r="AF79" s="19">
        <v>40.200000000000003</v>
      </c>
      <c r="AG79" s="19">
        <v>4034</v>
      </c>
      <c r="AH79" s="19">
        <v>10.8</v>
      </c>
      <c r="AI79" s="19">
        <v>63.1</v>
      </c>
      <c r="AJ79" s="19">
        <v>13.7</v>
      </c>
      <c r="AK79" s="19">
        <v>93</v>
      </c>
      <c r="AL79" s="19">
        <v>42</v>
      </c>
      <c r="AM79" s="19">
        <v>18</v>
      </c>
      <c r="AN79" s="19">
        <v>58.7</v>
      </c>
      <c r="AO79" s="19">
        <v>9.3000000000000007</v>
      </c>
      <c r="AP79" s="19">
        <v>60.8</v>
      </c>
      <c r="AQ79" s="19">
        <v>11</v>
      </c>
      <c r="AR79" s="19">
        <v>29.1</v>
      </c>
      <c r="AS79" s="19">
        <v>3.75</v>
      </c>
      <c r="AT79" s="19">
        <v>25.2</v>
      </c>
      <c r="AU79" s="19">
        <v>3.26</v>
      </c>
      <c r="AV79" s="19">
        <v>75</v>
      </c>
      <c r="AY79" s="22">
        <v>14.9</v>
      </c>
      <c r="BA79" s="19">
        <v>238</v>
      </c>
      <c r="BB79" s="19">
        <v>304</v>
      </c>
      <c r="BC79" s="19">
        <v>1281</v>
      </c>
      <c r="BF79" s="19">
        <v>3.24</v>
      </c>
      <c r="BG79">
        <f t="shared" si="35"/>
        <v>45.569620253164565</v>
      </c>
      <c r="BH79">
        <f t="shared" si="36"/>
        <v>103.10457516339869</v>
      </c>
      <c r="BI79">
        <f t="shared" si="37"/>
        <v>144.21052631578945</v>
      </c>
      <c r="BJ79">
        <f t="shared" si="38"/>
        <v>199.14346895074945</v>
      </c>
      <c r="BK79">
        <f t="shared" si="39"/>
        <v>274.50980392156862</v>
      </c>
      <c r="BL79">
        <f t="shared" si="40"/>
        <v>310.34482758620686</v>
      </c>
      <c r="BM79">
        <f t="shared" si="41"/>
        <v>285.64476885644774</v>
      </c>
      <c r="BN79">
        <f t="shared" si="42"/>
        <v>248.66310160427807</v>
      </c>
      <c r="BO79">
        <f t="shared" si="43"/>
        <v>239.37007874015745</v>
      </c>
      <c r="BP79">
        <f t="shared" si="44"/>
        <v>194.34628975265019</v>
      </c>
      <c r="BQ79">
        <f t="shared" si="45"/>
        <v>175.83081570996978</v>
      </c>
      <c r="BR79">
        <f t="shared" si="46"/>
        <v>147.05882352941177</v>
      </c>
      <c r="BS79">
        <f t="shared" si="47"/>
        <v>148.23529411764704</v>
      </c>
      <c r="BT79">
        <f t="shared" si="48"/>
        <v>128.34645669291339</v>
      </c>
      <c r="BU79">
        <f t="shared" si="32"/>
        <v>1.8518518518518521</v>
      </c>
      <c r="BV79">
        <f t="shared" si="33"/>
        <v>6.0239651416121989</v>
      </c>
      <c r="BX79">
        <f t="shared" si="34"/>
        <v>0.3074141048824594</v>
      </c>
      <c r="BZ79" t="s">
        <v>173</v>
      </c>
      <c r="CA79" t="s">
        <v>173</v>
      </c>
      <c r="CB79" t="s">
        <v>173</v>
      </c>
      <c r="CC79" t="s">
        <v>173</v>
      </c>
      <c r="CD79" t="s">
        <v>173</v>
      </c>
      <c r="CE79" t="s">
        <v>173</v>
      </c>
      <c r="CF79">
        <v>0</v>
      </c>
      <c r="CG79" s="31">
        <v>0</v>
      </c>
      <c r="CH79" t="s">
        <v>173</v>
      </c>
      <c r="CI79">
        <v>0.1585</v>
      </c>
      <c r="CJ79">
        <v>0.1242</v>
      </c>
      <c r="CK79">
        <v>4.7899999999999998E-2</v>
      </c>
      <c r="CL79">
        <v>1.5299999999999999E-2</v>
      </c>
      <c r="CM79">
        <v>0.1336</v>
      </c>
      <c r="CN79">
        <v>0</v>
      </c>
      <c r="CO79" t="s">
        <v>173</v>
      </c>
      <c r="CP79" t="s">
        <v>173</v>
      </c>
      <c r="CQ79" t="s">
        <v>173</v>
      </c>
      <c r="CR79" t="s">
        <v>173</v>
      </c>
      <c r="CS79" t="s">
        <v>173</v>
      </c>
      <c r="CT79" t="s">
        <v>173</v>
      </c>
      <c r="CU79" t="s">
        <v>173</v>
      </c>
      <c r="CV79" t="s">
        <v>173</v>
      </c>
      <c r="CW79" t="s">
        <v>173</v>
      </c>
      <c r="CX79">
        <v>0</v>
      </c>
      <c r="CY79">
        <v>0.4446</v>
      </c>
      <c r="CZ79" t="s">
        <v>173</v>
      </c>
      <c r="DA79" t="s">
        <v>173</v>
      </c>
      <c r="DB79" t="s">
        <v>173</v>
      </c>
      <c r="DC79" s="24">
        <f t="shared" si="28"/>
        <v>0.28270000000000001</v>
      </c>
      <c r="DD79" s="24">
        <f t="shared" si="29"/>
        <v>0</v>
      </c>
      <c r="DE79" s="24">
        <f t="shared" si="31"/>
        <v>0.18149999999999999</v>
      </c>
      <c r="DG79" s="5">
        <f t="shared" si="30"/>
        <v>53.786666666666669</v>
      </c>
    </row>
    <row r="80" spans="1:111" ht="14.5" customHeight="1" thickBot="1">
      <c r="A80" s="79" t="s">
        <v>116</v>
      </c>
      <c r="B80" s="78"/>
      <c r="C80" s="80"/>
      <c r="D80" s="9" t="s">
        <v>117</v>
      </c>
      <c r="G80" s="19">
        <v>29.42</v>
      </c>
      <c r="H80" s="19">
        <v>13.45</v>
      </c>
      <c r="I80" s="19">
        <v>2.59</v>
      </c>
      <c r="K80" s="19">
        <v>17.989999999999998</v>
      </c>
      <c r="L80" s="19"/>
      <c r="M80" s="19">
        <v>1.03</v>
      </c>
      <c r="N80" s="19">
        <v>0.32</v>
      </c>
      <c r="O80" s="19">
        <v>33.99</v>
      </c>
      <c r="Q80" s="19">
        <v>0.15</v>
      </c>
      <c r="R80" s="19"/>
      <c r="Y80" s="19"/>
      <c r="Z80" s="18"/>
      <c r="AF80" s="19">
        <v>30.7</v>
      </c>
      <c r="AG80" s="19">
        <v>4187</v>
      </c>
      <c r="AH80" s="19">
        <v>12.7</v>
      </c>
      <c r="AI80" s="19">
        <v>66.2</v>
      </c>
      <c r="AJ80" s="19">
        <v>13.8</v>
      </c>
      <c r="AK80" s="19">
        <v>92.6</v>
      </c>
      <c r="AL80" s="19">
        <v>39.1</v>
      </c>
      <c r="AM80" s="19">
        <v>16.5</v>
      </c>
      <c r="AN80" s="19">
        <v>54.6</v>
      </c>
      <c r="AO80" s="19">
        <v>8.98</v>
      </c>
      <c r="AP80" s="19">
        <v>60.7</v>
      </c>
      <c r="AQ80" s="19">
        <v>11.7</v>
      </c>
      <c r="AR80" s="19">
        <v>32.6</v>
      </c>
      <c r="AS80" s="19">
        <v>4.75</v>
      </c>
      <c r="AT80" s="19">
        <v>32</v>
      </c>
      <c r="AU80" s="19">
        <v>4.6399999999999997</v>
      </c>
      <c r="AV80" s="19">
        <v>89.2</v>
      </c>
      <c r="AY80" s="22">
        <v>10.3</v>
      </c>
      <c r="BA80" s="19">
        <v>218</v>
      </c>
      <c r="BB80" s="19">
        <v>371</v>
      </c>
      <c r="BC80" s="19">
        <v>1369</v>
      </c>
      <c r="BF80" s="19">
        <v>3.32</v>
      </c>
      <c r="BG80">
        <f t="shared" si="35"/>
        <v>53.586497890295355</v>
      </c>
      <c r="BH80">
        <f t="shared" si="36"/>
        <v>108.16993464052288</v>
      </c>
      <c r="BI80">
        <f t="shared" si="37"/>
        <v>145.26315789473685</v>
      </c>
      <c r="BJ80">
        <f t="shared" si="38"/>
        <v>198.2869379014989</v>
      </c>
      <c r="BK80">
        <f t="shared" si="39"/>
        <v>255.55555555555557</v>
      </c>
      <c r="BL80">
        <f t="shared" si="40"/>
        <v>284.48275862068965</v>
      </c>
      <c r="BM80">
        <f t="shared" si="41"/>
        <v>265.69343065693431</v>
      </c>
      <c r="BN80">
        <f t="shared" si="42"/>
        <v>240.10695187165774</v>
      </c>
      <c r="BO80">
        <f t="shared" si="43"/>
        <v>238.97637795275591</v>
      </c>
      <c r="BP80">
        <f t="shared" si="44"/>
        <v>206.71378091872791</v>
      </c>
      <c r="BQ80">
        <f t="shared" si="45"/>
        <v>196.97885196374622</v>
      </c>
      <c r="BR80">
        <f t="shared" si="46"/>
        <v>186.27450980392157</v>
      </c>
      <c r="BS80">
        <f t="shared" si="47"/>
        <v>188.23529411764704</v>
      </c>
      <c r="BT80">
        <f t="shared" si="48"/>
        <v>182.6771653543307</v>
      </c>
      <c r="BU80">
        <f t="shared" si="32"/>
        <v>1.3576388888888891</v>
      </c>
      <c r="BV80">
        <f t="shared" si="33"/>
        <v>4.7690288713910771</v>
      </c>
      <c r="BX80">
        <f t="shared" si="34"/>
        <v>0.28467827004219409</v>
      </c>
      <c r="BZ80" t="s">
        <v>173</v>
      </c>
      <c r="CA80" t="s">
        <v>173</v>
      </c>
      <c r="CB80" t="s">
        <v>173</v>
      </c>
      <c r="CC80" t="s">
        <v>173</v>
      </c>
      <c r="CD80" t="s">
        <v>173</v>
      </c>
      <c r="CE80" t="s">
        <v>173</v>
      </c>
      <c r="CF80">
        <v>0</v>
      </c>
      <c r="CG80" s="31">
        <v>0</v>
      </c>
      <c r="CH80" t="s">
        <v>173</v>
      </c>
      <c r="CI80">
        <v>0.14910000000000001</v>
      </c>
      <c r="CJ80">
        <v>0.127</v>
      </c>
      <c r="CK80">
        <v>6.0900000000000003E-2</v>
      </c>
      <c r="CL80">
        <v>1.21E-2</v>
      </c>
      <c r="CM80">
        <v>0.1278</v>
      </c>
      <c r="CN80">
        <v>0</v>
      </c>
      <c r="CO80" t="s">
        <v>173</v>
      </c>
      <c r="CP80" t="s">
        <v>173</v>
      </c>
      <c r="CQ80" t="s">
        <v>173</v>
      </c>
      <c r="CR80" t="s">
        <v>173</v>
      </c>
      <c r="CS80" t="s">
        <v>173</v>
      </c>
      <c r="CT80" t="s">
        <v>173</v>
      </c>
      <c r="CU80" t="s">
        <v>173</v>
      </c>
      <c r="CV80" t="s">
        <v>173</v>
      </c>
      <c r="CW80" t="s">
        <v>173</v>
      </c>
      <c r="CX80">
        <v>0</v>
      </c>
      <c r="CY80">
        <v>0.44629999999999997</v>
      </c>
      <c r="CZ80" t="s">
        <v>173</v>
      </c>
      <c r="DA80" t="s">
        <v>173</v>
      </c>
      <c r="DB80" t="s">
        <v>173</v>
      </c>
      <c r="DC80" s="24">
        <f t="shared" si="28"/>
        <v>0.27610000000000001</v>
      </c>
      <c r="DD80" s="24">
        <f t="shared" si="29"/>
        <v>0</v>
      </c>
      <c r="DE80" s="24">
        <f t="shared" si="31"/>
        <v>0.18870000000000001</v>
      </c>
      <c r="DG80" s="5">
        <f t="shared" si="30"/>
        <v>46.939461883408072</v>
      </c>
    </row>
    <row r="81" spans="1:111" ht="15" thickBot="1">
      <c r="A81" s="79"/>
      <c r="B81" s="78"/>
      <c r="C81" s="80"/>
      <c r="D81" s="9" t="s">
        <v>117</v>
      </c>
      <c r="G81" s="19">
        <v>29.4</v>
      </c>
      <c r="H81" s="19">
        <v>14.39</v>
      </c>
      <c r="I81" s="19">
        <v>2.4</v>
      </c>
      <c r="K81" s="19">
        <v>17.52</v>
      </c>
      <c r="L81" s="19"/>
      <c r="M81" s="19">
        <v>1.04</v>
      </c>
      <c r="N81" s="19">
        <v>0.36</v>
      </c>
      <c r="O81" s="19">
        <v>34.04</v>
      </c>
      <c r="Q81" s="19">
        <v>7.0000000000000007E-2</v>
      </c>
      <c r="R81" s="19"/>
      <c r="Y81" s="19"/>
      <c r="Z81" s="18"/>
      <c r="AF81" s="19">
        <v>27.2</v>
      </c>
      <c r="AG81" s="19">
        <v>4279</v>
      </c>
      <c r="AH81" s="19">
        <v>8.57</v>
      </c>
      <c r="AI81" s="19">
        <v>52.4</v>
      </c>
      <c r="AJ81" s="19">
        <v>11.4</v>
      </c>
      <c r="AK81" s="19">
        <v>79.3</v>
      </c>
      <c r="AL81" s="19">
        <v>36.5</v>
      </c>
      <c r="AM81" s="19">
        <v>14.7</v>
      </c>
      <c r="AN81" s="19">
        <v>55.2</v>
      </c>
      <c r="AO81" s="19">
        <v>9.27</v>
      </c>
      <c r="AP81" s="19">
        <v>62</v>
      </c>
      <c r="AQ81" s="19">
        <v>12.2</v>
      </c>
      <c r="AR81" s="19">
        <v>34.1</v>
      </c>
      <c r="AS81" s="19">
        <v>4.72</v>
      </c>
      <c r="AT81" s="19">
        <v>30.5</v>
      </c>
      <c r="AU81" s="19">
        <v>3.84</v>
      </c>
      <c r="AV81" s="19">
        <v>87.8</v>
      </c>
      <c r="AY81" s="22">
        <v>13.6</v>
      </c>
      <c r="BA81" s="19">
        <v>217</v>
      </c>
      <c r="BB81" s="19">
        <v>350</v>
      </c>
      <c r="BC81" s="19">
        <v>1176</v>
      </c>
      <c r="BF81" s="19">
        <v>3.53</v>
      </c>
      <c r="BG81">
        <f t="shared" si="35"/>
        <v>36.160337552742618</v>
      </c>
      <c r="BH81">
        <f t="shared" si="36"/>
        <v>85.620915032679733</v>
      </c>
      <c r="BI81">
        <f t="shared" si="37"/>
        <v>120</v>
      </c>
      <c r="BJ81">
        <f t="shared" si="38"/>
        <v>169.80728051391861</v>
      </c>
      <c r="BK81">
        <f t="shared" si="39"/>
        <v>238.56209150326796</v>
      </c>
      <c r="BL81">
        <f t="shared" si="40"/>
        <v>253.44827586206895</v>
      </c>
      <c r="BM81">
        <f t="shared" si="41"/>
        <v>268.61313868613144</v>
      </c>
      <c r="BN81">
        <f t="shared" si="42"/>
        <v>247.8609625668449</v>
      </c>
      <c r="BO81">
        <f t="shared" si="43"/>
        <v>244.09448818897638</v>
      </c>
      <c r="BP81">
        <f t="shared" si="44"/>
        <v>215.54770318021201</v>
      </c>
      <c r="BQ81">
        <f t="shared" si="45"/>
        <v>206.04229607250755</v>
      </c>
      <c r="BR81">
        <f t="shared" si="46"/>
        <v>185.09803921568627</v>
      </c>
      <c r="BS81">
        <f t="shared" si="47"/>
        <v>179.41176470588235</v>
      </c>
      <c r="BT81">
        <f t="shared" si="48"/>
        <v>151.18110236220471</v>
      </c>
      <c r="BU81">
        <f t="shared" si="32"/>
        <v>1.3296903460837888</v>
      </c>
      <c r="BV81">
        <f t="shared" si="33"/>
        <v>6.5973413869631861</v>
      </c>
      <c r="BX81">
        <f t="shared" si="34"/>
        <v>0.2015494224251228</v>
      </c>
      <c r="BZ81" t="s">
        <v>173</v>
      </c>
      <c r="CA81" t="s">
        <v>173</v>
      </c>
      <c r="CB81" t="s">
        <v>173</v>
      </c>
      <c r="CC81" t="s">
        <v>173</v>
      </c>
      <c r="CD81" t="s">
        <v>173</v>
      </c>
      <c r="CE81" t="s">
        <v>173</v>
      </c>
      <c r="CF81">
        <v>0</v>
      </c>
      <c r="CG81" s="31">
        <v>0</v>
      </c>
      <c r="CH81" t="s">
        <v>173</v>
      </c>
      <c r="CI81">
        <v>0.1595</v>
      </c>
      <c r="CJ81">
        <v>0.1176</v>
      </c>
      <c r="CK81">
        <v>0.1353</v>
      </c>
      <c r="CL81">
        <v>5.5999999999999999E-3</v>
      </c>
      <c r="CM81">
        <v>0.129</v>
      </c>
      <c r="CN81">
        <v>0</v>
      </c>
      <c r="CO81" t="s">
        <v>173</v>
      </c>
      <c r="CP81" t="s">
        <v>173</v>
      </c>
      <c r="CQ81" t="s">
        <v>173</v>
      </c>
      <c r="CR81" t="s">
        <v>173</v>
      </c>
      <c r="CS81" t="s">
        <v>173</v>
      </c>
      <c r="CT81" t="s">
        <v>173</v>
      </c>
      <c r="CU81" t="s">
        <v>173</v>
      </c>
      <c r="CV81" t="s">
        <v>173</v>
      </c>
      <c r="CW81" t="s">
        <v>173</v>
      </c>
      <c r="CX81">
        <v>0</v>
      </c>
      <c r="CY81">
        <v>0.38229999999999997</v>
      </c>
      <c r="CZ81" t="s">
        <v>173</v>
      </c>
      <c r="DA81" t="s">
        <v>173</v>
      </c>
      <c r="DB81" t="s">
        <v>173</v>
      </c>
      <c r="DC81" s="24">
        <f t="shared" si="28"/>
        <v>0.27710000000000001</v>
      </c>
      <c r="DD81" s="24">
        <f t="shared" si="29"/>
        <v>0</v>
      </c>
      <c r="DE81" s="24">
        <f t="shared" si="31"/>
        <v>0.26429999999999998</v>
      </c>
      <c r="DG81" s="5">
        <f t="shared" si="30"/>
        <v>48.735763097949885</v>
      </c>
    </row>
    <row r="82" spans="1:111" ht="15.5">
      <c r="C82" s="17"/>
      <c r="D82" s="19"/>
      <c r="E82" s="19"/>
      <c r="F82" s="19"/>
      <c r="G82" s="19"/>
      <c r="H82" s="19"/>
      <c r="I82" s="19"/>
      <c r="J82" s="19"/>
      <c r="K82" s="19"/>
      <c r="L82" s="19"/>
      <c r="Y82" s="19"/>
      <c r="Z82" s="18"/>
      <c r="AB82" s="17"/>
      <c r="AC82" s="17"/>
      <c r="AE82" s="17"/>
      <c r="AF82" s="17"/>
      <c r="AK82" s="17"/>
      <c r="BZ82" s="39"/>
      <c r="CA82" s="40"/>
      <c r="CB82" s="39"/>
      <c r="CC82" s="40"/>
      <c r="CD82" s="40"/>
      <c r="CE82" s="40"/>
      <c r="CF82" s="39"/>
      <c r="CG82" s="40"/>
      <c r="CH82" s="40"/>
      <c r="CI82" s="39"/>
      <c r="CJ82" s="40">
        <v>0</v>
      </c>
      <c r="CK82" s="39">
        <v>0</v>
      </c>
      <c r="CL82" s="40">
        <v>0</v>
      </c>
      <c r="CM82" s="40">
        <v>0</v>
      </c>
      <c r="CN82" s="40">
        <v>0</v>
      </c>
      <c r="CO82" s="39"/>
      <c r="CP82" s="40"/>
      <c r="CQ82" s="39"/>
      <c r="CR82" s="40"/>
      <c r="CS82" s="39"/>
      <c r="CT82" s="39"/>
      <c r="CU82" s="39"/>
      <c r="CV82" s="39"/>
      <c r="CW82" s="39"/>
      <c r="CX82">
        <v>0</v>
      </c>
      <c r="CY82" s="39"/>
      <c r="CZ82" s="39"/>
      <c r="DA82" s="40"/>
      <c r="DB82" s="40"/>
      <c r="DC82" s="24">
        <f t="shared" si="28"/>
        <v>0</v>
      </c>
      <c r="DD82" s="24">
        <f t="shared" si="29"/>
        <v>0</v>
      </c>
      <c r="DE82" s="24">
        <f t="shared" si="31"/>
        <v>0</v>
      </c>
      <c r="DG82" s="5" t="e">
        <f t="shared" si="30"/>
        <v>#DIV/0!</v>
      </c>
    </row>
    <row r="83" spans="1:111" ht="15" thickBot="1">
      <c r="A83" s="23"/>
      <c r="B83" s="24"/>
      <c r="C83" s="24"/>
      <c r="E83" s="24"/>
      <c r="F83" s="25"/>
      <c r="G83" s="24"/>
      <c r="H83" s="24"/>
      <c r="I83" s="24"/>
      <c r="K83" s="24"/>
      <c r="L83" s="24"/>
      <c r="M83" s="24"/>
      <c r="N83" s="24"/>
      <c r="O83" s="24"/>
      <c r="Q83" s="24"/>
      <c r="S83" s="24"/>
      <c r="T83" s="24"/>
      <c r="V83" s="24"/>
      <c r="W83" s="24"/>
      <c r="X83" s="24"/>
      <c r="Y83" s="19"/>
      <c r="Z83" s="18"/>
      <c r="AB83" s="24"/>
      <c r="AC83" s="19"/>
      <c r="AE83" s="19"/>
      <c r="AF83" s="19"/>
      <c r="AK83" s="19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>
        <v>0</v>
      </c>
      <c r="CK83" s="24">
        <v>0</v>
      </c>
      <c r="CL83" s="24">
        <v>0</v>
      </c>
      <c r="CM83" s="24">
        <v>0</v>
      </c>
      <c r="CN83" s="24">
        <v>0</v>
      </c>
      <c r="CO83" s="24"/>
      <c r="CP83" s="24"/>
      <c r="CQ83" s="24"/>
      <c r="CR83" s="24"/>
      <c r="CS83" s="24"/>
      <c r="CT83" s="24"/>
      <c r="CU83" s="24"/>
      <c r="CV83" s="24"/>
      <c r="CW83" s="24"/>
      <c r="CX83" s="24">
        <v>0</v>
      </c>
      <c r="CY83" s="24"/>
      <c r="CZ83" s="24"/>
      <c r="DA83" s="24"/>
      <c r="DB83" s="24"/>
      <c r="DC83" s="24">
        <f t="shared" si="28"/>
        <v>0</v>
      </c>
      <c r="DD83" s="24">
        <f t="shared" si="29"/>
        <v>0</v>
      </c>
      <c r="DE83" s="24">
        <f t="shared" si="31"/>
        <v>0</v>
      </c>
      <c r="DG83" s="5" t="e">
        <f t="shared" si="30"/>
        <v>#DIV/0!</v>
      </c>
    </row>
    <row r="84" spans="1:111" ht="15" thickBot="1">
      <c r="A84" s="26"/>
      <c r="B84" s="24"/>
      <c r="C84" s="24" t="s">
        <v>397</v>
      </c>
      <c r="E84" s="24"/>
      <c r="F84" s="25"/>
      <c r="G84" s="24"/>
      <c r="H84" s="24"/>
      <c r="I84" s="24"/>
      <c r="M84" s="24"/>
      <c r="N84" s="24"/>
      <c r="O84" s="24"/>
      <c r="Q84" s="24"/>
      <c r="S84" s="24"/>
      <c r="T84" s="24"/>
      <c r="V84" s="24"/>
      <c r="W84" s="24"/>
      <c r="X84" s="24"/>
      <c r="Y84" s="19"/>
      <c r="Z84" s="18"/>
      <c r="AB84" s="24"/>
      <c r="AC84" s="19"/>
      <c r="AE84" s="19"/>
      <c r="AF84" s="19"/>
      <c r="AK84" s="19"/>
      <c r="BG84">
        <f t="shared" si="35"/>
        <v>0</v>
      </c>
      <c r="BH84">
        <f t="shared" si="36"/>
        <v>0</v>
      </c>
      <c r="BI84">
        <f t="shared" si="37"/>
        <v>0</v>
      </c>
      <c r="BJ84">
        <f t="shared" si="38"/>
        <v>0</v>
      </c>
      <c r="BK84">
        <f t="shared" si="39"/>
        <v>0</v>
      </c>
      <c r="BL84">
        <f t="shared" si="40"/>
        <v>0</v>
      </c>
      <c r="BM84">
        <f t="shared" si="41"/>
        <v>0</v>
      </c>
      <c r="BN84">
        <f t="shared" si="42"/>
        <v>0</v>
      </c>
      <c r="BO84">
        <f t="shared" si="43"/>
        <v>0</v>
      </c>
      <c r="BP84">
        <f t="shared" si="44"/>
        <v>0</v>
      </c>
      <c r="BQ84">
        <f t="shared" si="45"/>
        <v>0</v>
      </c>
      <c r="BR84">
        <f t="shared" si="46"/>
        <v>0</v>
      </c>
      <c r="BS84">
        <f t="shared" si="47"/>
        <v>0</v>
      </c>
      <c r="BT84">
        <f t="shared" si="48"/>
        <v>0</v>
      </c>
      <c r="BU84" t="e">
        <f t="shared" si="25"/>
        <v>#DIV/0!</v>
      </c>
      <c r="BV84" t="e">
        <f t="shared" si="26"/>
        <v>#DIV/0!</v>
      </c>
      <c r="BX84" t="e">
        <f t="shared" si="27"/>
        <v>#DIV/0!</v>
      </c>
      <c r="CJ84">
        <v>0</v>
      </c>
      <c r="CK84">
        <v>0</v>
      </c>
      <c r="CL84">
        <v>0</v>
      </c>
      <c r="CM84">
        <v>0</v>
      </c>
      <c r="CN84">
        <v>0</v>
      </c>
      <c r="CX84">
        <v>0</v>
      </c>
      <c r="DC84" s="24">
        <f t="shared" si="28"/>
        <v>0</v>
      </c>
      <c r="DD84" s="24">
        <f t="shared" si="29"/>
        <v>0</v>
      </c>
      <c r="DE84" s="24">
        <f t="shared" si="31"/>
        <v>0</v>
      </c>
      <c r="DG84" s="5" t="e">
        <f t="shared" si="30"/>
        <v>#DIV/0!</v>
      </c>
    </row>
    <row r="85" spans="1:111" ht="15" thickBot="1">
      <c r="A85" s="27" t="s">
        <v>118</v>
      </c>
      <c r="B85" s="28" t="s">
        <v>119</v>
      </c>
      <c r="C85" s="29" t="s">
        <v>120</v>
      </c>
      <c r="D85" t="s">
        <v>140</v>
      </c>
      <c r="E85" s="29" t="s">
        <v>121</v>
      </c>
      <c r="F85" s="30" t="s">
        <v>122</v>
      </c>
      <c r="G85" s="31">
        <v>24.9</v>
      </c>
      <c r="H85" s="31">
        <v>9.99</v>
      </c>
      <c r="I85" s="31">
        <v>2.14</v>
      </c>
      <c r="K85" s="31">
        <v>12.07</v>
      </c>
      <c r="L85" s="31"/>
      <c r="M85" s="31">
        <v>3.32</v>
      </c>
      <c r="N85" s="31">
        <v>0.32100000000000001</v>
      </c>
      <c r="O85" s="31">
        <v>29.62</v>
      </c>
      <c r="Q85" s="31">
        <v>3.2000000000000001E-2</v>
      </c>
      <c r="S85" s="31"/>
      <c r="T85" s="31"/>
      <c r="V85" s="31"/>
      <c r="W85" s="31"/>
      <c r="X85" s="31">
        <v>14.98</v>
      </c>
      <c r="Y85" s="19"/>
      <c r="Z85" s="18"/>
      <c r="AB85" s="31">
        <v>0.31</v>
      </c>
      <c r="AC85" s="19"/>
      <c r="AE85" s="19"/>
      <c r="AF85" s="19"/>
      <c r="AK85" s="19"/>
      <c r="BG85">
        <f t="shared" si="35"/>
        <v>0</v>
      </c>
      <c r="BH85">
        <f t="shared" si="36"/>
        <v>0</v>
      </c>
      <c r="BI85">
        <f t="shared" si="37"/>
        <v>0</v>
      </c>
      <c r="BJ85">
        <f t="shared" si="38"/>
        <v>0</v>
      </c>
      <c r="BK85">
        <f t="shared" si="39"/>
        <v>0</v>
      </c>
      <c r="BL85">
        <f t="shared" si="40"/>
        <v>0</v>
      </c>
      <c r="BM85">
        <f t="shared" si="41"/>
        <v>0</v>
      </c>
      <c r="BN85">
        <f t="shared" si="42"/>
        <v>0</v>
      </c>
      <c r="BO85">
        <f t="shared" si="43"/>
        <v>0</v>
      </c>
      <c r="BP85">
        <f t="shared" si="44"/>
        <v>0</v>
      </c>
      <c r="BQ85">
        <f t="shared" si="45"/>
        <v>0</v>
      </c>
      <c r="BR85">
        <f t="shared" si="46"/>
        <v>0</v>
      </c>
      <c r="BS85">
        <f t="shared" si="47"/>
        <v>0</v>
      </c>
      <c r="BT85">
        <f t="shared" si="48"/>
        <v>0</v>
      </c>
      <c r="BU85" t="e">
        <f t="shared" si="25"/>
        <v>#DIV/0!</v>
      </c>
      <c r="BV85" t="e">
        <f t="shared" si="26"/>
        <v>#DIV/0!</v>
      </c>
      <c r="BX85" t="e">
        <f t="shared" si="27"/>
        <v>#DIV/0!</v>
      </c>
      <c r="BZ85" s="24" t="s">
        <v>173</v>
      </c>
      <c r="CA85" s="24"/>
      <c r="CB85" s="24" t="s">
        <v>173</v>
      </c>
      <c r="CC85" s="24" t="s">
        <v>173</v>
      </c>
      <c r="CD85" s="24" t="s">
        <v>173</v>
      </c>
      <c r="CE85" s="24" t="s">
        <v>173</v>
      </c>
      <c r="CF85" s="24">
        <v>0.1129</v>
      </c>
      <c r="CG85" s="24">
        <v>0.21410000000000001</v>
      </c>
      <c r="CH85" s="24" t="s">
        <v>173</v>
      </c>
      <c r="CI85" s="24">
        <v>5.8400000000000001E-2</v>
      </c>
      <c r="CJ85" s="24">
        <v>0</v>
      </c>
      <c r="CK85" s="24">
        <v>0.23619999999999999</v>
      </c>
      <c r="CL85" s="24">
        <v>2.8E-3</v>
      </c>
      <c r="CM85" s="24">
        <v>0.31440000000000001</v>
      </c>
      <c r="CN85" s="24">
        <v>0</v>
      </c>
      <c r="CO85" s="24" t="s">
        <v>173</v>
      </c>
      <c r="CP85" s="24" t="s">
        <v>173</v>
      </c>
      <c r="CQ85" s="24" t="s">
        <v>173</v>
      </c>
      <c r="CR85" s="24" t="s">
        <v>173</v>
      </c>
      <c r="CS85" s="24" t="s">
        <v>173</v>
      </c>
      <c r="CT85" s="24" t="s">
        <v>173</v>
      </c>
      <c r="CU85" s="24" t="s">
        <v>173</v>
      </c>
      <c r="CV85" s="24" t="s">
        <v>173</v>
      </c>
      <c r="CW85" s="24" t="s">
        <v>173</v>
      </c>
      <c r="CX85" s="24">
        <v>0</v>
      </c>
      <c r="CY85" s="24">
        <v>1.03E-2</v>
      </c>
      <c r="CZ85" s="24">
        <v>8.0999999999999996E-3</v>
      </c>
      <c r="DA85" s="24" t="s">
        <v>173</v>
      </c>
      <c r="DB85" s="24">
        <v>4.2900000000000001E-2</v>
      </c>
      <c r="DC85" s="24">
        <f t="shared" si="28"/>
        <v>5.8400000000000001E-2</v>
      </c>
      <c r="DD85" s="24">
        <f t="shared" si="29"/>
        <v>0.32700000000000001</v>
      </c>
      <c r="DE85" s="24">
        <f t="shared" si="31"/>
        <v>0.55059999999999998</v>
      </c>
      <c r="DG85" s="5" t="e">
        <f t="shared" si="30"/>
        <v>#DIV/0!</v>
      </c>
    </row>
    <row r="86" spans="1:111" ht="15" thickBot="1">
      <c r="A86" s="32"/>
      <c r="B86" s="27"/>
      <c r="C86" s="29" t="s">
        <v>120</v>
      </c>
      <c r="D86" t="s">
        <v>140</v>
      </c>
      <c r="E86" s="29" t="s">
        <v>121</v>
      </c>
      <c r="F86" s="30" t="s">
        <v>123</v>
      </c>
      <c r="G86" s="31">
        <v>25.71</v>
      </c>
      <c r="H86" s="31">
        <v>9.81</v>
      </c>
      <c r="I86" s="31">
        <v>1.4670000000000001</v>
      </c>
      <c r="K86" s="31">
        <v>12.92</v>
      </c>
      <c r="L86" s="31"/>
      <c r="M86" s="31">
        <v>3.21</v>
      </c>
      <c r="N86" s="31">
        <v>0.34399999999999997</v>
      </c>
      <c r="O86" s="31">
        <v>29.98</v>
      </c>
      <c r="Q86" s="31">
        <v>0</v>
      </c>
      <c r="S86" s="31"/>
      <c r="T86" s="31"/>
      <c r="V86" s="31"/>
      <c r="W86" s="31"/>
      <c r="X86" s="31">
        <v>13.69</v>
      </c>
      <c r="Y86" s="19"/>
      <c r="Z86" s="18"/>
      <c r="AB86" s="31">
        <v>0.27400000000000002</v>
      </c>
      <c r="AC86" s="19"/>
      <c r="AE86" s="19"/>
      <c r="AF86" s="19"/>
      <c r="AK86" s="19"/>
      <c r="BG86">
        <f t="shared" si="35"/>
        <v>0</v>
      </c>
      <c r="BH86">
        <f t="shared" si="36"/>
        <v>0</v>
      </c>
      <c r="BI86">
        <f t="shared" si="37"/>
        <v>0</v>
      </c>
      <c r="BJ86">
        <f t="shared" si="38"/>
        <v>0</v>
      </c>
      <c r="BK86">
        <f t="shared" si="39"/>
        <v>0</v>
      </c>
      <c r="BL86">
        <f t="shared" si="40"/>
        <v>0</v>
      </c>
      <c r="BM86">
        <f t="shared" si="41"/>
        <v>0</v>
      </c>
      <c r="BN86">
        <f t="shared" si="42"/>
        <v>0</v>
      </c>
      <c r="BO86">
        <f t="shared" si="43"/>
        <v>0</v>
      </c>
      <c r="BP86">
        <f t="shared" si="44"/>
        <v>0</v>
      </c>
      <c r="BQ86">
        <f t="shared" si="45"/>
        <v>0</v>
      </c>
      <c r="BR86">
        <f t="shared" si="46"/>
        <v>0</v>
      </c>
      <c r="BS86">
        <f t="shared" si="47"/>
        <v>0</v>
      </c>
      <c r="BT86">
        <f t="shared" si="48"/>
        <v>0</v>
      </c>
      <c r="BU86" t="e">
        <f t="shared" si="25"/>
        <v>#DIV/0!</v>
      </c>
      <c r="BV86" t="e">
        <f t="shared" si="26"/>
        <v>#DIV/0!</v>
      </c>
      <c r="BX86" t="e">
        <f t="shared" si="27"/>
        <v>#DIV/0!</v>
      </c>
      <c r="BZ86" s="24" t="s">
        <v>173</v>
      </c>
      <c r="CA86" s="24"/>
      <c r="CB86" s="24" t="s">
        <v>173</v>
      </c>
      <c r="CC86" s="24" t="s">
        <v>173</v>
      </c>
      <c r="CD86" s="24" t="s">
        <v>173</v>
      </c>
      <c r="CE86" s="24" t="s">
        <v>173</v>
      </c>
      <c r="CF86" s="24">
        <v>7.7299999999999994E-2</v>
      </c>
      <c r="CG86" s="24">
        <v>0.22109999999999999</v>
      </c>
      <c r="CH86" s="24" t="s">
        <v>173</v>
      </c>
      <c r="CI86" s="24">
        <v>5.2600000000000001E-2</v>
      </c>
      <c r="CJ86" s="24">
        <v>0</v>
      </c>
      <c r="CK86" s="24">
        <v>0.22939999999999999</v>
      </c>
      <c r="CL86" s="24">
        <v>0</v>
      </c>
      <c r="CM86" s="24">
        <v>0.3251</v>
      </c>
      <c r="CN86" s="24">
        <v>0</v>
      </c>
      <c r="CO86" s="24" t="s">
        <v>173</v>
      </c>
      <c r="CP86" s="24" t="s">
        <v>173</v>
      </c>
      <c r="CQ86" s="24" t="s">
        <v>173</v>
      </c>
      <c r="CR86" s="24" t="s">
        <v>173</v>
      </c>
      <c r="CS86" s="24" t="s">
        <v>173</v>
      </c>
      <c r="CT86" s="24" t="s">
        <v>173</v>
      </c>
      <c r="CU86" s="24" t="s">
        <v>173</v>
      </c>
      <c r="CV86" s="24" t="s">
        <v>173</v>
      </c>
      <c r="CW86" s="24" t="s">
        <v>173</v>
      </c>
      <c r="CX86" s="24">
        <v>0</v>
      </c>
      <c r="CY86" s="24">
        <v>5.16E-2</v>
      </c>
      <c r="CZ86" s="24">
        <v>8.6999999999999994E-3</v>
      </c>
      <c r="DA86" s="24" t="s">
        <v>173</v>
      </c>
      <c r="DB86" s="24">
        <v>3.4200000000000001E-2</v>
      </c>
      <c r="DC86" s="24">
        <f t="shared" si="28"/>
        <v>5.2600000000000001E-2</v>
      </c>
      <c r="DD86" s="24">
        <f t="shared" si="29"/>
        <v>0.2984</v>
      </c>
      <c r="DE86" s="24">
        <f t="shared" si="31"/>
        <v>0.55449999999999999</v>
      </c>
      <c r="DG86" s="5" t="e">
        <f t="shared" si="30"/>
        <v>#DIV/0!</v>
      </c>
    </row>
    <row r="87" spans="1:111" ht="15" thickBot="1">
      <c r="A87" s="32"/>
      <c r="B87" s="27"/>
      <c r="C87" s="29"/>
      <c r="E87" s="29"/>
      <c r="F87" s="30"/>
      <c r="G87" s="31"/>
      <c r="H87" s="31"/>
      <c r="I87" s="31"/>
      <c r="K87" s="31"/>
      <c r="L87" s="31"/>
      <c r="M87" s="31"/>
      <c r="N87" s="31"/>
      <c r="O87" s="31"/>
      <c r="Q87" s="31"/>
      <c r="S87" s="31"/>
      <c r="T87" s="31"/>
      <c r="V87" s="31"/>
      <c r="W87" s="31"/>
      <c r="X87" s="31"/>
      <c r="AB87" s="31"/>
      <c r="AC87" s="19"/>
      <c r="AE87" s="19"/>
      <c r="AF87" s="19"/>
      <c r="AK87" s="19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>
        <v>0</v>
      </c>
      <c r="CK87" s="24">
        <v>0</v>
      </c>
      <c r="CL87" s="24">
        <v>0</v>
      </c>
      <c r="CM87" s="24">
        <v>0</v>
      </c>
      <c r="CN87" s="24">
        <v>0</v>
      </c>
      <c r="CO87" s="24"/>
      <c r="CP87" s="24"/>
      <c r="CQ87" s="24"/>
      <c r="CR87" s="24"/>
      <c r="CS87" s="24"/>
      <c r="CT87" s="24"/>
      <c r="CU87" s="24"/>
      <c r="CV87" s="24"/>
      <c r="CW87" s="24"/>
      <c r="CX87" s="24">
        <v>0</v>
      </c>
      <c r="CY87" s="24"/>
      <c r="CZ87" s="24"/>
      <c r="DA87" s="24"/>
      <c r="DB87" s="24"/>
      <c r="DC87" s="24">
        <f t="shared" si="28"/>
        <v>0</v>
      </c>
      <c r="DD87" s="24">
        <f t="shared" si="29"/>
        <v>0</v>
      </c>
      <c r="DE87" s="24">
        <f t="shared" si="31"/>
        <v>0</v>
      </c>
      <c r="DG87" s="5" t="e">
        <f t="shared" si="30"/>
        <v>#DIV/0!</v>
      </c>
    </row>
    <row r="88" spans="1:111" ht="15" thickBot="1">
      <c r="A88" s="32"/>
      <c r="B88" s="27"/>
      <c r="C88" s="29" t="s">
        <v>124</v>
      </c>
      <c r="D88" t="s">
        <v>140</v>
      </c>
      <c r="E88" s="29" t="s">
        <v>125</v>
      </c>
      <c r="F88" s="30" t="s">
        <v>122</v>
      </c>
      <c r="G88" s="31">
        <v>22.93</v>
      </c>
      <c r="H88" s="31">
        <v>10.07</v>
      </c>
      <c r="I88" s="31">
        <v>3.26</v>
      </c>
      <c r="K88" s="31">
        <v>11.98</v>
      </c>
      <c r="L88" s="31"/>
      <c r="M88" s="31">
        <v>2.93</v>
      </c>
      <c r="N88" s="31">
        <v>0.20399999999999999</v>
      </c>
      <c r="O88" s="31">
        <v>29.85</v>
      </c>
      <c r="Q88" s="31">
        <v>0</v>
      </c>
      <c r="S88" s="31"/>
      <c r="T88" s="31"/>
      <c r="V88" s="31"/>
      <c r="W88" s="31"/>
      <c r="X88" s="31">
        <v>16.510000000000002</v>
      </c>
      <c r="AB88" s="31">
        <v>0.36099999999999999</v>
      </c>
      <c r="AC88" s="19"/>
      <c r="AE88" s="19"/>
      <c r="AF88" s="19"/>
      <c r="AK88" s="19"/>
      <c r="BG88">
        <f t="shared" si="35"/>
        <v>0</v>
      </c>
      <c r="BH88">
        <f t="shared" si="36"/>
        <v>0</v>
      </c>
      <c r="BI88">
        <f t="shared" si="37"/>
        <v>0</v>
      </c>
      <c r="BJ88">
        <f t="shared" si="38"/>
        <v>0</v>
      </c>
      <c r="BK88">
        <f t="shared" si="39"/>
        <v>0</v>
      </c>
      <c r="BL88">
        <f t="shared" si="40"/>
        <v>0</v>
      </c>
      <c r="BM88">
        <f t="shared" si="41"/>
        <v>0</v>
      </c>
      <c r="BN88">
        <f t="shared" si="42"/>
        <v>0</v>
      </c>
      <c r="BO88">
        <f t="shared" si="43"/>
        <v>0</v>
      </c>
      <c r="BP88">
        <f t="shared" si="44"/>
        <v>0</v>
      </c>
      <c r="BQ88">
        <f t="shared" si="45"/>
        <v>0</v>
      </c>
      <c r="BR88">
        <f t="shared" si="46"/>
        <v>0</v>
      </c>
      <c r="BS88">
        <f t="shared" si="47"/>
        <v>0</v>
      </c>
      <c r="BT88">
        <f t="shared" si="48"/>
        <v>0</v>
      </c>
      <c r="BU88" t="e">
        <f t="shared" si="25"/>
        <v>#DIV/0!</v>
      </c>
      <c r="BV88" t="e">
        <f t="shared" si="26"/>
        <v>#DIV/0!</v>
      </c>
      <c r="BX88" t="e">
        <f t="shared" si="27"/>
        <v>#DIV/0!</v>
      </c>
      <c r="BZ88" s="24" t="s">
        <v>173</v>
      </c>
      <c r="CA88" s="24"/>
      <c r="CB88" s="24" t="s">
        <v>173</v>
      </c>
      <c r="CC88" s="24" t="s">
        <v>173</v>
      </c>
      <c r="CD88" s="24" t="s">
        <v>173</v>
      </c>
      <c r="CE88" s="24" t="s">
        <v>173</v>
      </c>
      <c r="CF88" s="24">
        <v>0.17280000000000001</v>
      </c>
      <c r="CG88" s="24">
        <v>0.1893</v>
      </c>
      <c r="CH88" s="24" t="s">
        <v>173</v>
      </c>
      <c r="CI88" s="24">
        <v>0.1067</v>
      </c>
      <c r="CJ88" s="24">
        <v>0</v>
      </c>
      <c r="CK88" s="24">
        <v>0.18279999999999999</v>
      </c>
      <c r="CL88" s="24">
        <v>0</v>
      </c>
      <c r="CM88" s="24">
        <v>0.28520000000000001</v>
      </c>
      <c r="CN88" s="24">
        <v>0</v>
      </c>
      <c r="CO88" s="24" t="s">
        <v>173</v>
      </c>
      <c r="CP88" s="24" t="s">
        <v>173</v>
      </c>
      <c r="CQ88" s="24" t="s">
        <v>173</v>
      </c>
      <c r="CR88" s="24" t="s">
        <v>173</v>
      </c>
      <c r="CS88" s="24" t="s">
        <v>173</v>
      </c>
      <c r="CT88" s="24" t="s">
        <v>173</v>
      </c>
      <c r="CU88" s="24" t="s">
        <v>173</v>
      </c>
      <c r="CV88" s="24" t="s">
        <v>173</v>
      </c>
      <c r="CW88" s="24" t="s">
        <v>173</v>
      </c>
      <c r="CX88" s="24">
        <v>0</v>
      </c>
      <c r="CY88" s="24">
        <v>2.2100000000000002E-2</v>
      </c>
      <c r="CZ88" s="24">
        <v>5.1999999999999998E-3</v>
      </c>
      <c r="DA88" s="24" t="s">
        <v>173</v>
      </c>
      <c r="DB88" s="24">
        <v>3.5900000000000001E-2</v>
      </c>
      <c r="DC88" s="24">
        <f t="shared" si="28"/>
        <v>0.1067</v>
      </c>
      <c r="DD88" s="24">
        <f t="shared" si="29"/>
        <v>0.36209999999999998</v>
      </c>
      <c r="DE88" s="24">
        <f t="shared" si="31"/>
        <v>0.46799999999999997</v>
      </c>
      <c r="DG88" s="5" t="e">
        <f t="shared" si="30"/>
        <v>#DIV/0!</v>
      </c>
    </row>
    <row r="89" spans="1:111" ht="15" thickBot="1">
      <c r="A89" s="32"/>
      <c r="B89" s="27"/>
      <c r="C89" s="29" t="s">
        <v>124</v>
      </c>
      <c r="D89" t="s">
        <v>140</v>
      </c>
      <c r="E89" s="29" t="s">
        <v>125</v>
      </c>
      <c r="F89" s="30" t="s">
        <v>123</v>
      </c>
      <c r="G89" s="31">
        <v>23.39</v>
      </c>
      <c r="H89" s="31">
        <v>9.81</v>
      </c>
      <c r="I89" s="31">
        <v>2.5499999999999998</v>
      </c>
      <c r="K89" s="31">
        <v>12.54</v>
      </c>
      <c r="L89" s="31"/>
      <c r="M89" s="31">
        <v>2.85</v>
      </c>
      <c r="N89" s="31">
        <v>0.187</v>
      </c>
      <c r="O89" s="31">
        <v>30.08</v>
      </c>
      <c r="Q89" s="31">
        <v>2.7E-2</v>
      </c>
      <c r="S89" s="31"/>
      <c r="T89" s="31"/>
      <c r="V89" s="31"/>
      <c r="W89" s="31"/>
      <c r="X89" s="31">
        <v>15.92</v>
      </c>
      <c r="AB89" s="31">
        <v>0.27</v>
      </c>
      <c r="AC89" s="19"/>
      <c r="AE89" s="19"/>
      <c r="AF89" s="19"/>
      <c r="AK89" s="19"/>
      <c r="BG89">
        <f t="shared" si="35"/>
        <v>0</v>
      </c>
      <c r="BH89">
        <f t="shared" si="36"/>
        <v>0</v>
      </c>
      <c r="BI89">
        <f t="shared" si="37"/>
        <v>0</v>
      </c>
      <c r="BJ89">
        <f t="shared" si="38"/>
        <v>0</v>
      </c>
      <c r="BK89">
        <f t="shared" si="39"/>
        <v>0</v>
      </c>
      <c r="BL89">
        <f t="shared" si="40"/>
        <v>0</v>
      </c>
      <c r="BM89">
        <f t="shared" si="41"/>
        <v>0</v>
      </c>
      <c r="BN89">
        <f t="shared" si="42"/>
        <v>0</v>
      </c>
      <c r="BO89">
        <f t="shared" si="43"/>
        <v>0</v>
      </c>
      <c r="BP89">
        <f t="shared" si="44"/>
        <v>0</v>
      </c>
      <c r="BQ89">
        <f t="shared" si="45"/>
        <v>0</v>
      </c>
      <c r="BR89">
        <f t="shared" si="46"/>
        <v>0</v>
      </c>
      <c r="BS89">
        <f t="shared" si="47"/>
        <v>0</v>
      </c>
      <c r="BT89">
        <f t="shared" si="48"/>
        <v>0</v>
      </c>
      <c r="BU89" t="e">
        <f t="shared" si="25"/>
        <v>#DIV/0!</v>
      </c>
      <c r="BV89" t="e">
        <f t="shared" si="26"/>
        <v>#DIV/0!</v>
      </c>
      <c r="BX89" t="e">
        <f t="shared" si="27"/>
        <v>#DIV/0!</v>
      </c>
      <c r="BZ89" s="24" t="s">
        <v>173</v>
      </c>
      <c r="CA89" s="24"/>
      <c r="CB89" s="24" t="s">
        <v>173</v>
      </c>
      <c r="CC89" s="24" t="s">
        <v>173</v>
      </c>
      <c r="CD89" s="24" t="s">
        <v>173</v>
      </c>
      <c r="CE89" s="24" t="s">
        <v>173</v>
      </c>
      <c r="CF89" s="24">
        <v>0.13550000000000001</v>
      </c>
      <c r="CG89" s="24">
        <v>0.2145</v>
      </c>
      <c r="CH89" s="24" t="s">
        <v>173</v>
      </c>
      <c r="CI89" s="24">
        <v>9.5399999999999999E-2</v>
      </c>
      <c r="CJ89" s="24">
        <v>0</v>
      </c>
      <c r="CK89" s="24">
        <v>0.16159999999999999</v>
      </c>
      <c r="CL89" s="24">
        <v>2.3999999999999998E-3</v>
      </c>
      <c r="CM89" s="24">
        <v>0.3085</v>
      </c>
      <c r="CN89" s="24">
        <v>0</v>
      </c>
      <c r="CO89" s="24" t="s">
        <v>173</v>
      </c>
      <c r="CP89" s="24" t="s">
        <v>173</v>
      </c>
      <c r="CQ89" s="24" t="s">
        <v>173</v>
      </c>
      <c r="CR89" s="24" t="s">
        <v>173</v>
      </c>
      <c r="CS89" s="24" t="s">
        <v>173</v>
      </c>
      <c r="CT89" s="24" t="s">
        <v>173</v>
      </c>
      <c r="CU89" s="24" t="s">
        <v>173</v>
      </c>
      <c r="CV89" s="24" t="s">
        <v>173</v>
      </c>
      <c r="CW89" s="24" t="s">
        <v>173</v>
      </c>
      <c r="CX89" s="24">
        <v>0</v>
      </c>
      <c r="CY89" s="24">
        <v>5.2600000000000001E-2</v>
      </c>
      <c r="CZ89" s="24">
        <v>4.7999999999999996E-3</v>
      </c>
      <c r="DA89" s="24" t="s">
        <v>173</v>
      </c>
      <c r="DB89" s="24">
        <v>2.4899999999999999E-2</v>
      </c>
      <c r="DC89" s="24">
        <f t="shared" si="28"/>
        <v>9.5399999999999999E-2</v>
      </c>
      <c r="DD89" s="24">
        <f t="shared" si="29"/>
        <v>0.35</v>
      </c>
      <c r="DE89" s="24">
        <f t="shared" si="31"/>
        <v>0.47009999999999996</v>
      </c>
      <c r="DG89" s="5" t="e">
        <f t="shared" si="30"/>
        <v>#DIV/0!</v>
      </c>
    </row>
    <row r="90" spans="1:111" ht="15" thickBot="1">
      <c r="A90" s="32"/>
      <c r="B90" s="27"/>
      <c r="C90" s="29"/>
      <c r="E90" s="29"/>
      <c r="F90" s="30"/>
      <c r="G90" s="31"/>
      <c r="H90" s="31"/>
      <c r="I90" s="31"/>
      <c r="K90" s="31"/>
      <c r="L90" s="31"/>
      <c r="M90" s="31"/>
      <c r="N90" s="31"/>
      <c r="O90" s="31"/>
      <c r="Q90" s="31"/>
      <c r="S90" s="31"/>
      <c r="T90" s="31"/>
      <c r="V90" s="31"/>
      <c r="W90" s="31"/>
      <c r="X90" s="31"/>
      <c r="AB90" s="31"/>
      <c r="AC90" s="19"/>
      <c r="AE90" s="19"/>
      <c r="AF90" s="19"/>
      <c r="AK90" s="19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/>
      <c r="CP90" s="24"/>
      <c r="CQ90" s="24"/>
      <c r="CR90" s="24"/>
      <c r="CS90" s="24"/>
      <c r="CT90" s="24"/>
      <c r="CU90" s="24"/>
      <c r="CV90" s="24"/>
      <c r="CW90" s="24"/>
      <c r="CX90" s="24">
        <v>0</v>
      </c>
      <c r="CY90" s="24"/>
      <c r="CZ90" s="24"/>
      <c r="DA90" s="24"/>
      <c r="DB90" s="24"/>
      <c r="DC90" s="24">
        <f t="shared" si="28"/>
        <v>0</v>
      </c>
      <c r="DD90" s="24">
        <f t="shared" si="29"/>
        <v>0</v>
      </c>
      <c r="DE90" s="24">
        <f t="shared" si="31"/>
        <v>0</v>
      </c>
      <c r="DG90" s="5" t="e">
        <f t="shared" si="30"/>
        <v>#DIV/0!</v>
      </c>
    </row>
    <row r="91" spans="1:111" ht="14.5" customHeight="1" thickBot="1">
      <c r="A91" s="27"/>
      <c r="B91" s="27"/>
      <c r="C91" s="29" t="s">
        <v>126</v>
      </c>
      <c r="D91" t="s">
        <v>140</v>
      </c>
      <c r="E91" s="29" t="s">
        <v>127</v>
      </c>
      <c r="F91" s="30" t="s">
        <v>128</v>
      </c>
      <c r="G91" s="31">
        <v>23.48</v>
      </c>
      <c r="H91" s="31">
        <v>10.15</v>
      </c>
      <c r="I91" s="31">
        <v>2.58</v>
      </c>
      <c r="K91" s="31">
        <v>12.31</v>
      </c>
      <c r="L91" s="31"/>
      <c r="M91" s="31">
        <v>2.91</v>
      </c>
      <c r="N91" s="31">
        <v>0.16700000000000001</v>
      </c>
      <c r="O91" s="31">
        <v>30.18</v>
      </c>
      <c r="Q91" s="31">
        <v>0</v>
      </c>
      <c r="S91" s="31"/>
      <c r="T91" s="31"/>
      <c r="V91" s="31"/>
      <c r="W91" s="31"/>
      <c r="X91" s="31">
        <v>16.059999999999999</v>
      </c>
      <c r="AB91" s="31">
        <v>0.27700000000000002</v>
      </c>
      <c r="BG91">
        <f t="shared" si="35"/>
        <v>0</v>
      </c>
      <c r="BH91">
        <f t="shared" si="36"/>
        <v>0</v>
      </c>
      <c r="BI91">
        <f t="shared" si="37"/>
        <v>0</v>
      </c>
      <c r="BJ91">
        <f t="shared" si="38"/>
        <v>0</v>
      </c>
      <c r="BK91">
        <f t="shared" si="39"/>
        <v>0</v>
      </c>
      <c r="BL91">
        <f t="shared" si="40"/>
        <v>0</v>
      </c>
      <c r="BM91">
        <f t="shared" si="41"/>
        <v>0</v>
      </c>
      <c r="BN91">
        <f t="shared" si="42"/>
        <v>0</v>
      </c>
      <c r="BO91">
        <f t="shared" si="43"/>
        <v>0</v>
      </c>
      <c r="BP91">
        <f t="shared" si="44"/>
        <v>0</v>
      </c>
      <c r="BQ91">
        <f t="shared" si="45"/>
        <v>0</v>
      </c>
      <c r="BR91">
        <f t="shared" si="46"/>
        <v>0</v>
      </c>
      <c r="BS91">
        <f t="shared" si="47"/>
        <v>0</v>
      </c>
      <c r="BT91">
        <f t="shared" si="48"/>
        <v>0</v>
      </c>
      <c r="BU91" t="e">
        <f t="shared" si="25"/>
        <v>#DIV/0!</v>
      </c>
      <c r="BV91" t="e">
        <f t="shared" si="26"/>
        <v>#DIV/0!</v>
      </c>
      <c r="BX91" t="e">
        <f t="shared" si="27"/>
        <v>#DIV/0!</v>
      </c>
      <c r="BZ91" s="24" t="s">
        <v>173</v>
      </c>
      <c r="CA91" s="24"/>
      <c r="CB91" s="24" t="s">
        <v>173</v>
      </c>
      <c r="CC91" s="24" t="s">
        <v>173</v>
      </c>
      <c r="CD91" s="24" t="s">
        <v>173</v>
      </c>
      <c r="CE91" s="24" t="s">
        <v>173</v>
      </c>
      <c r="CF91" s="24">
        <v>0.13650000000000001</v>
      </c>
      <c r="CG91" s="24">
        <v>0.21510000000000001</v>
      </c>
      <c r="CH91" s="24" t="s">
        <v>173</v>
      </c>
      <c r="CI91" s="24">
        <v>9.4299999999999995E-2</v>
      </c>
      <c r="CJ91" s="24">
        <v>0</v>
      </c>
      <c r="CK91" s="24">
        <v>0.1913</v>
      </c>
      <c r="CL91" s="24">
        <v>0</v>
      </c>
      <c r="CM91" s="24">
        <v>0.30559999999999998</v>
      </c>
      <c r="CN91" s="24">
        <v>0</v>
      </c>
      <c r="CO91" s="24" t="s">
        <v>173</v>
      </c>
      <c r="CP91" s="24" t="s">
        <v>173</v>
      </c>
      <c r="CQ91" s="24" t="s">
        <v>173</v>
      </c>
      <c r="CR91" s="24" t="s">
        <v>173</v>
      </c>
      <c r="CS91" s="24" t="s">
        <v>173</v>
      </c>
      <c r="CT91" s="24" t="s">
        <v>173</v>
      </c>
      <c r="CU91" s="24" t="s">
        <v>173</v>
      </c>
      <c r="CV91" s="24" t="s">
        <v>173</v>
      </c>
      <c r="CW91" s="24" t="s">
        <v>173</v>
      </c>
      <c r="CX91" s="24">
        <v>0</v>
      </c>
      <c r="CY91" s="24">
        <v>2.4899999999999999E-2</v>
      </c>
      <c r="CZ91" s="24">
        <v>4.1999999999999997E-3</v>
      </c>
      <c r="DA91" s="24" t="s">
        <v>173</v>
      </c>
      <c r="DB91" s="24">
        <v>2.8000000000000001E-2</v>
      </c>
      <c r="DC91" s="24">
        <f t="shared" si="28"/>
        <v>9.4299999999999995E-2</v>
      </c>
      <c r="DD91" s="24">
        <f t="shared" si="29"/>
        <v>0.35160000000000002</v>
      </c>
      <c r="DE91" s="24">
        <f t="shared" si="31"/>
        <v>0.49690000000000001</v>
      </c>
      <c r="DG91" s="5" t="e">
        <f t="shared" si="30"/>
        <v>#DIV/0!</v>
      </c>
    </row>
    <row r="92" spans="1:111" ht="15" thickBot="1">
      <c r="A92" s="27"/>
      <c r="B92" s="27"/>
      <c r="C92" s="29" t="s">
        <v>126</v>
      </c>
      <c r="D92" t="s">
        <v>140</v>
      </c>
      <c r="E92" s="29" t="s">
        <v>127</v>
      </c>
      <c r="F92" s="30" t="s">
        <v>129</v>
      </c>
      <c r="G92" s="31">
        <v>21.74</v>
      </c>
      <c r="H92" s="31">
        <v>10.76</v>
      </c>
      <c r="I92" s="31">
        <v>2.96</v>
      </c>
      <c r="K92" s="31">
        <v>12.25</v>
      </c>
      <c r="L92" s="31"/>
      <c r="M92" s="31">
        <v>2.5499999999999998</v>
      </c>
      <c r="N92" s="31">
        <v>0.14599999999999999</v>
      </c>
      <c r="O92" s="31">
        <v>29.99</v>
      </c>
      <c r="Q92" s="31">
        <v>3.9E-2</v>
      </c>
      <c r="S92" s="31"/>
      <c r="T92" s="31"/>
      <c r="V92" s="31"/>
      <c r="W92" s="31"/>
      <c r="X92" s="31">
        <v>17.170000000000002</v>
      </c>
      <c r="AB92" s="31">
        <v>0.28000000000000003</v>
      </c>
      <c r="BG92">
        <f t="shared" si="35"/>
        <v>0</v>
      </c>
      <c r="BH92">
        <f t="shared" si="36"/>
        <v>0</v>
      </c>
      <c r="BI92">
        <f t="shared" si="37"/>
        <v>0</v>
      </c>
      <c r="BJ92">
        <f t="shared" si="38"/>
        <v>0</v>
      </c>
      <c r="BK92">
        <f t="shared" si="39"/>
        <v>0</v>
      </c>
      <c r="BL92">
        <f t="shared" si="40"/>
        <v>0</v>
      </c>
      <c r="BM92">
        <f t="shared" si="41"/>
        <v>0</v>
      </c>
      <c r="BN92">
        <f t="shared" si="42"/>
        <v>0</v>
      </c>
      <c r="BO92">
        <f t="shared" si="43"/>
        <v>0</v>
      </c>
      <c r="BP92">
        <f t="shared" si="44"/>
        <v>0</v>
      </c>
      <c r="BQ92">
        <f t="shared" si="45"/>
        <v>0</v>
      </c>
      <c r="BR92">
        <f t="shared" si="46"/>
        <v>0</v>
      </c>
      <c r="BS92">
        <f t="shared" si="47"/>
        <v>0</v>
      </c>
      <c r="BT92">
        <f t="shared" si="48"/>
        <v>0</v>
      </c>
      <c r="BU92" t="e">
        <f t="shared" si="25"/>
        <v>#DIV/0!</v>
      </c>
      <c r="BV92" t="e">
        <f t="shared" si="26"/>
        <v>#DIV/0!</v>
      </c>
      <c r="BX92" t="e">
        <f t="shared" si="27"/>
        <v>#DIV/0!</v>
      </c>
      <c r="BZ92" s="24" t="s">
        <v>173</v>
      </c>
      <c r="CA92" s="24"/>
      <c r="CB92" s="24" t="s">
        <v>173</v>
      </c>
      <c r="CC92" s="24" t="s">
        <v>173</v>
      </c>
      <c r="CD92" s="24" t="s">
        <v>173</v>
      </c>
      <c r="CE92" s="24" t="s">
        <v>173</v>
      </c>
      <c r="CF92" s="24">
        <v>0.15840000000000001</v>
      </c>
      <c r="CG92" s="24">
        <v>0.2218</v>
      </c>
      <c r="CH92" s="24" t="s">
        <v>173</v>
      </c>
      <c r="CI92" s="24">
        <v>0.13239999999999999</v>
      </c>
      <c r="CJ92" s="24">
        <v>0</v>
      </c>
      <c r="CK92" s="24">
        <v>0.18149999999999999</v>
      </c>
      <c r="CL92" s="24">
        <v>3.3999999999999998E-3</v>
      </c>
      <c r="CM92" s="24">
        <v>0.27760000000000001</v>
      </c>
      <c r="CN92" s="24">
        <v>0</v>
      </c>
      <c r="CO92" s="24" t="s">
        <v>173</v>
      </c>
      <c r="CP92" s="24" t="s">
        <v>173</v>
      </c>
      <c r="CQ92" s="24" t="s">
        <v>173</v>
      </c>
      <c r="CR92" s="24" t="s">
        <v>173</v>
      </c>
      <c r="CS92" s="24" t="s">
        <v>173</v>
      </c>
      <c r="CT92" s="24" t="s">
        <v>173</v>
      </c>
      <c r="CU92" s="24" t="s">
        <v>173</v>
      </c>
      <c r="CV92" s="24" t="s">
        <v>173</v>
      </c>
      <c r="CW92" s="24" t="s">
        <v>173</v>
      </c>
      <c r="CX92" s="24">
        <v>0</v>
      </c>
      <c r="CY92" s="24">
        <v>0</v>
      </c>
      <c r="CZ92" s="24">
        <v>3.7000000000000002E-3</v>
      </c>
      <c r="DA92" s="24" t="s">
        <v>173</v>
      </c>
      <c r="DB92" s="24">
        <v>1.66E-2</v>
      </c>
      <c r="DC92" s="24">
        <f t="shared" si="28"/>
        <v>0.13239999999999999</v>
      </c>
      <c r="DD92" s="24">
        <f t="shared" si="29"/>
        <v>0.38019999999999998</v>
      </c>
      <c r="DE92" s="24">
        <f t="shared" si="31"/>
        <v>0.45910000000000001</v>
      </c>
      <c r="DG92" s="5" t="e">
        <f t="shared" si="30"/>
        <v>#DIV/0!</v>
      </c>
    </row>
    <row r="93" spans="1:111" ht="15" thickBot="1">
      <c r="A93" s="27"/>
      <c r="B93" s="27"/>
      <c r="C93" s="29"/>
      <c r="E93" s="29"/>
      <c r="F93" s="30"/>
      <c r="G93" s="31"/>
      <c r="H93" s="31"/>
      <c r="I93" s="31"/>
      <c r="K93" s="31"/>
      <c r="L93" s="31"/>
      <c r="M93" s="31"/>
      <c r="N93" s="31"/>
      <c r="O93" s="31"/>
      <c r="Q93" s="31"/>
      <c r="S93" s="31"/>
      <c r="T93" s="31"/>
      <c r="V93" s="31"/>
      <c r="W93" s="31"/>
      <c r="X93" s="31"/>
      <c r="AB93" s="31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/>
      <c r="CP93" s="24"/>
      <c r="CQ93" s="24"/>
      <c r="CR93" s="24"/>
      <c r="CS93" s="24"/>
      <c r="CT93" s="24"/>
      <c r="CU93" s="24"/>
      <c r="CV93" s="24"/>
      <c r="CW93" s="24"/>
      <c r="CX93" s="24">
        <v>0</v>
      </c>
      <c r="CY93" s="24"/>
      <c r="CZ93" s="24"/>
      <c r="DA93" s="24"/>
      <c r="DB93" s="24"/>
      <c r="DC93" s="24">
        <f t="shared" si="28"/>
        <v>0</v>
      </c>
      <c r="DD93" s="24">
        <f t="shared" si="29"/>
        <v>0</v>
      </c>
      <c r="DE93" s="24">
        <f t="shared" si="31"/>
        <v>0</v>
      </c>
      <c r="DG93" s="5" t="e">
        <f t="shared" si="30"/>
        <v>#DIV/0!</v>
      </c>
    </row>
    <row r="94" spans="1:111" ht="15" thickBot="1">
      <c r="A94" s="27"/>
      <c r="B94" s="27"/>
      <c r="C94" s="29" t="s">
        <v>130</v>
      </c>
      <c r="D94" t="s">
        <v>140</v>
      </c>
      <c r="E94" s="29" t="s">
        <v>131</v>
      </c>
      <c r="F94" s="30" t="s">
        <v>122</v>
      </c>
      <c r="G94" s="31">
        <v>24.67</v>
      </c>
      <c r="H94" s="31">
        <v>9.82</v>
      </c>
      <c r="I94" s="31">
        <v>2.2200000000000002</v>
      </c>
      <c r="K94" s="31">
        <v>12.32</v>
      </c>
      <c r="L94" s="31"/>
      <c r="M94" s="31">
        <v>3.21</v>
      </c>
      <c r="N94" s="31">
        <v>0.219</v>
      </c>
      <c r="O94" s="31">
        <v>30.36</v>
      </c>
      <c r="Q94" s="31">
        <v>0.01</v>
      </c>
      <c r="S94" s="31"/>
      <c r="T94" s="31"/>
      <c r="V94" s="31"/>
      <c r="W94" s="31"/>
      <c r="X94" s="31">
        <v>14.83</v>
      </c>
      <c r="AB94" s="31">
        <v>0.249</v>
      </c>
      <c r="BG94">
        <f t="shared" si="35"/>
        <v>0</v>
      </c>
      <c r="BH94">
        <f t="shared" si="36"/>
        <v>0</v>
      </c>
      <c r="BI94">
        <f t="shared" si="37"/>
        <v>0</v>
      </c>
      <c r="BJ94">
        <f t="shared" si="38"/>
        <v>0</v>
      </c>
      <c r="BK94">
        <f t="shared" si="39"/>
        <v>0</v>
      </c>
      <c r="BL94">
        <f t="shared" si="40"/>
        <v>0</v>
      </c>
      <c r="BM94">
        <f t="shared" si="41"/>
        <v>0</v>
      </c>
      <c r="BN94">
        <f t="shared" si="42"/>
        <v>0</v>
      </c>
      <c r="BO94">
        <f t="shared" si="43"/>
        <v>0</v>
      </c>
      <c r="BP94">
        <f t="shared" si="44"/>
        <v>0</v>
      </c>
      <c r="BQ94">
        <f t="shared" si="45"/>
        <v>0</v>
      </c>
      <c r="BR94">
        <f t="shared" si="46"/>
        <v>0</v>
      </c>
      <c r="BS94">
        <f t="shared" si="47"/>
        <v>0</v>
      </c>
      <c r="BT94">
        <f t="shared" si="48"/>
        <v>0</v>
      </c>
      <c r="BU94" t="e">
        <f t="shared" si="25"/>
        <v>#DIV/0!</v>
      </c>
      <c r="BV94" t="e">
        <f t="shared" si="26"/>
        <v>#DIV/0!</v>
      </c>
      <c r="BX94" t="e">
        <f t="shared" si="27"/>
        <v>#DIV/0!</v>
      </c>
      <c r="BZ94" s="24" t="s">
        <v>173</v>
      </c>
      <c r="CA94" s="24"/>
      <c r="CB94" s="24" t="s">
        <v>173</v>
      </c>
      <c r="CC94" s="24" t="s">
        <v>173</v>
      </c>
      <c r="CD94" s="24" t="s">
        <v>173</v>
      </c>
      <c r="CE94" s="24" t="s">
        <v>173</v>
      </c>
      <c r="CF94" s="24">
        <v>0.1166</v>
      </c>
      <c r="CG94" s="24">
        <v>0.20569999999999999</v>
      </c>
      <c r="CH94" s="24" t="s">
        <v>173</v>
      </c>
      <c r="CI94" s="24">
        <v>7.7899999999999997E-2</v>
      </c>
      <c r="CJ94" s="24">
        <v>0</v>
      </c>
      <c r="CK94" s="24">
        <v>0.156</v>
      </c>
      <c r="CL94" s="24">
        <v>8.9999999999999998E-4</v>
      </c>
      <c r="CM94" s="24">
        <v>0.34520000000000001</v>
      </c>
      <c r="CN94" s="24">
        <v>0</v>
      </c>
      <c r="CO94" s="24" t="s">
        <v>173</v>
      </c>
      <c r="CP94" s="24" t="s">
        <v>173</v>
      </c>
      <c r="CQ94" s="24" t="s">
        <v>173</v>
      </c>
      <c r="CR94" s="24" t="s">
        <v>173</v>
      </c>
      <c r="CS94" s="24" t="s">
        <v>173</v>
      </c>
      <c r="CT94" s="24" t="s">
        <v>173</v>
      </c>
      <c r="CU94" s="24" t="s">
        <v>173</v>
      </c>
      <c r="CV94" s="24" t="s">
        <v>173</v>
      </c>
      <c r="CW94" s="24" t="s">
        <v>173</v>
      </c>
      <c r="CX94" s="24">
        <v>0</v>
      </c>
      <c r="CY94" s="24">
        <v>6.5000000000000002E-2</v>
      </c>
      <c r="CZ94" s="24">
        <v>5.4999999999999997E-3</v>
      </c>
      <c r="DA94" s="24" t="s">
        <v>173</v>
      </c>
      <c r="DB94" s="24">
        <v>2.7199999999999998E-2</v>
      </c>
      <c r="DC94" s="24">
        <f t="shared" si="28"/>
        <v>7.7899999999999997E-2</v>
      </c>
      <c r="DD94" s="24">
        <f t="shared" si="29"/>
        <v>0.32229999999999998</v>
      </c>
      <c r="DE94" s="24">
        <f t="shared" si="31"/>
        <v>0.50119999999999998</v>
      </c>
      <c r="DG94" s="5" t="e">
        <f t="shared" si="30"/>
        <v>#DIV/0!</v>
      </c>
    </row>
    <row r="95" spans="1:111" ht="15" thickBot="1">
      <c r="A95" s="27"/>
      <c r="B95" s="27"/>
      <c r="C95" s="29" t="s">
        <v>130</v>
      </c>
      <c r="D95" t="s">
        <v>140</v>
      </c>
      <c r="E95" s="29" t="s">
        <v>131</v>
      </c>
      <c r="F95" s="30" t="s">
        <v>123</v>
      </c>
      <c r="G95" s="31">
        <v>25.51</v>
      </c>
      <c r="H95" s="31">
        <v>10.78</v>
      </c>
      <c r="I95" s="31">
        <v>1.5329999999999999</v>
      </c>
      <c r="K95" s="31">
        <v>13.34</v>
      </c>
      <c r="L95" s="31"/>
      <c r="M95" s="31">
        <v>3.03</v>
      </c>
      <c r="N95" s="31">
        <v>0.25800000000000001</v>
      </c>
      <c r="O95" s="31">
        <v>30.9</v>
      </c>
      <c r="Q95" s="31">
        <v>0</v>
      </c>
      <c r="S95" s="31"/>
      <c r="T95" s="31"/>
      <c r="V95" s="31"/>
      <c r="W95" s="31"/>
      <c r="X95" s="31">
        <v>12.51</v>
      </c>
      <c r="AB95" s="31">
        <v>0.16500000000000001</v>
      </c>
      <c r="BG95">
        <f t="shared" si="35"/>
        <v>0</v>
      </c>
      <c r="BH95">
        <f t="shared" si="36"/>
        <v>0</v>
      </c>
      <c r="BI95">
        <f t="shared" si="37"/>
        <v>0</v>
      </c>
      <c r="BJ95">
        <f t="shared" si="38"/>
        <v>0</v>
      </c>
      <c r="BK95">
        <f t="shared" si="39"/>
        <v>0</v>
      </c>
      <c r="BL95">
        <f t="shared" si="40"/>
        <v>0</v>
      </c>
      <c r="BM95">
        <f t="shared" si="41"/>
        <v>0</v>
      </c>
      <c r="BN95">
        <f t="shared" si="42"/>
        <v>0</v>
      </c>
      <c r="BO95">
        <f t="shared" si="43"/>
        <v>0</v>
      </c>
      <c r="BP95">
        <f t="shared" si="44"/>
        <v>0</v>
      </c>
      <c r="BQ95">
        <f t="shared" si="45"/>
        <v>0</v>
      </c>
      <c r="BR95">
        <f t="shared" si="46"/>
        <v>0</v>
      </c>
      <c r="BS95">
        <f t="shared" si="47"/>
        <v>0</v>
      </c>
      <c r="BT95">
        <f t="shared" si="48"/>
        <v>0</v>
      </c>
      <c r="BU95" t="e">
        <f t="shared" si="25"/>
        <v>#DIV/0!</v>
      </c>
      <c r="BV95" t="e">
        <f t="shared" si="26"/>
        <v>#DIV/0!</v>
      </c>
      <c r="BX95" t="e">
        <f t="shared" si="27"/>
        <v>#DIV/0!</v>
      </c>
      <c r="BZ95" s="24" t="s">
        <v>173</v>
      </c>
      <c r="CA95" s="24"/>
      <c r="CB95" s="24" t="s">
        <v>173</v>
      </c>
      <c r="CC95" s="24" t="s">
        <v>173</v>
      </c>
      <c r="CD95" s="24" t="s">
        <v>173</v>
      </c>
      <c r="CE95" s="24" t="s">
        <v>173</v>
      </c>
      <c r="CF95" s="24">
        <v>7.9799999999999996E-2</v>
      </c>
      <c r="CG95" s="24">
        <v>0.18970000000000001</v>
      </c>
      <c r="CH95" s="24" t="s">
        <v>173</v>
      </c>
      <c r="CI95" s="24">
        <v>0.1033</v>
      </c>
      <c r="CJ95" s="24">
        <v>0</v>
      </c>
      <c r="CK95" s="24">
        <v>0.1658</v>
      </c>
      <c r="CL95" s="24">
        <v>0</v>
      </c>
      <c r="CM95" s="24">
        <v>0.34429999999999999</v>
      </c>
      <c r="CN95" s="24">
        <v>0</v>
      </c>
      <c r="CO95" s="24" t="s">
        <v>173</v>
      </c>
      <c r="CP95" s="24" t="s">
        <v>173</v>
      </c>
      <c r="CQ95" s="24" t="s">
        <v>173</v>
      </c>
      <c r="CR95" s="24" t="s">
        <v>173</v>
      </c>
      <c r="CS95" s="24" t="s">
        <v>173</v>
      </c>
      <c r="CT95" s="24" t="s">
        <v>173</v>
      </c>
      <c r="CU95" s="24" t="s">
        <v>173</v>
      </c>
      <c r="CV95" s="24" t="s">
        <v>173</v>
      </c>
      <c r="CW95" s="24" t="s">
        <v>173</v>
      </c>
      <c r="CX95" s="24">
        <v>0</v>
      </c>
      <c r="CY95" s="24">
        <v>9.2299999999999993E-2</v>
      </c>
      <c r="CZ95" s="24">
        <v>6.4000000000000003E-3</v>
      </c>
      <c r="DA95" s="24" t="s">
        <v>173</v>
      </c>
      <c r="DB95" s="24">
        <v>1.83E-2</v>
      </c>
      <c r="DC95" s="24">
        <f t="shared" si="28"/>
        <v>0.1033</v>
      </c>
      <c r="DD95" s="24">
        <f t="shared" si="29"/>
        <v>0.26950000000000002</v>
      </c>
      <c r="DE95" s="24">
        <f t="shared" si="31"/>
        <v>0.5101</v>
      </c>
      <c r="DG95" s="5" t="e">
        <f t="shared" si="30"/>
        <v>#DIV/0!</v>
      </c>
    </row>
    <row r="96" spans="1:111" ht="15" thickBot="1">
      <c r="A96" s="27"/>
      <c r="B96" s="33"/>
      <c r="C96" s="29"/>
      <c r="E96" s="29"/>
      <c r="F96" s="30"/>
      <c r="G96" s="31"/>
      <c r="H96" s="31"/>
      <c r="I96" s="31"/>
      <c r="K96" s="31"/>
      <c r="L96" s="31"/>
      <c r="M96" s="31"/>
      <c r="N96" s="31"/>
      <c r="O96" s="31"/>
      <c r="Q96" s="31"/>
      <c r="S96" s="31"/>
      <c r="T96" s="31"/>
      <c r="V96" s="31"/>
      <c r="W96" s="31"/>
      <c r="X96" s="31"/>
      <c r="AB96" s="31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/>
      <c r="CP96" s="24"/>
      <c r="CQ96" s="24"/>
      <c r="CR96" s="24"/>
      <c r="CS96" s="24"/>
      <c r="CT96" s="24"/>
      <c r="CU96" s="24"/>
      <c r="CV96" s="24"/>
      <c r="CW96" s="24"/>
      <c r="CX96" s="24">
        <v>0</v>
      </c>
      <c r="CY96" s="24"/>
      <c r="CZ96" s="24"/>
      <c r="DA96" s="24"/>
      <c r="DB96" s="24"/>
      <c r="DC96" s="24">
        <f t="shared" si="28"/>
        <v>0</v>
      </c>
      <c r="DD96" s="24">
        <f t="shared" si="29"/>
        <v>0</v>
      </c>
      <c r="DE96" s="24">
        <f t="shared" si="31"/>
        <v>0</v>
      </c>
      <c r="DG96" s="5" t="e">
        <f t="shared" si="30"/>
        <v>#DIV/0!</v>
      </c>
    </row>
    <row r="97" spans="1:111" ht="15" thickBot="1">
      <c r="A97" s="32"/>
      <c r="B97" s="34" t="s">
        <v>132</v>
      </c>
      <c r="C97" s="29" t="s">
        <v>133</v>
      </c>
      <c r="D97" t="s">
        <v>140</v>
      </c>
      <c r="E97" s="29" t="s">
        <v>125</v>
      </c>
      <c r="F97" s="30" t="s">
        <v>122</v>
      </c>
      <c r="G97" s="31">
        <v>31.46</v>
      </c>
      <c r="H97" s="31">
        <v>11.83</v>
      </c>
      <c r="I97" s="31">
        <v>1.39</v>
      </c>
      <c r="K97" s="31">
        <v>18.27</v>
      </c>
      <c r="L97" s="31"/>
      <c r="M97" s="31">
        <v>1.216</v>
      </c>
      <c r="N97" s="31">
        <v>0.18</v>
      </c>
      <c r="O97" s="31">
        <v>32.75</v>
      </c>
      <c r="Q97" s="31">
        <v>0.219</v>
      </c>
      <c r="S97" s="31"/>
      <c r="T97" s="31"/>
      <c r="V97" s="31"/>
      <c r="W97" s="31"/>
      <c r="X97" s="31">
        <v>0.40200000000000002</v>
      </c>
      <c r="AB97" s="31">
        <v>0</v>
      </c>
      <c r="BG97">
        <f t="shared" si="35"/>
        <v>0</v>
      </c>
      <c r="BH97">
        <f t="shared" si="36"/>
        <v>0</v>
      </c>
      <c r="BI97">
        <f t="shared" si="37"/>
        <v>0</v>
      </c>
      <c r="BJ97">
        <f t="shared" si="38"/>
        <v>0</v>
      </c>
      <c r="BK97">
        <f t="shared" si="39"/>
        <v>0</v>
      </c>
      <c r="BL97">
        <f t="shared" si="40"/>
        <v>0</v>
      </c>
      <c r="BM97">
        <f t="shared" si="41"/>
        <v>0</v>
      </c>
      <c r="BN97">
        <f t="shared" si="42"/>
        <v>0</v>
      </c>
      <c r="BO97">
        <f t="shared" si="43"/>
        <v>0</v>
      </c>
      <c r="BP97">
        <f t="shared" si="44"/>
        <v>0</v>
      </c>
      <c r="BQ97">
        <f t="shared" si="45"/>
        <v>0</v>
      </c>
      <c r="BR97">
        <f t="shared" si="46"/>
        <v>0</v>
      </c>
      <c r="BS97">
        <f t="shared" si="47"/>
        <v>0</v>
      </c>
      <c r="BT97">
        <f t="shared" si="48"/>
        <v>0</v>
      </c>
      <c r="BU97" t="e">
        <f t="shared" ref="BU97:BU151" si="49">BK97/BS97</f>
        <v>#DIV/0!</v>
      </c>
      <c r="BV97" t="e">
        <f t="shared" ref="BV97:BV151" si="50">BK97/BG97</f>
        <v>#DIV/0!</v>
      </c>
      <c r="BX97" t="e">
        <f t="shared" ref="BX97:BX151" si="51">BG97/BS97</f>
        <v>#DIV/0!</v>
      </c>
      <c r="BZ97" s="41" t="s">
        <v>173</v>
      </c>
      <c r="CA97" s="24"/>
      <c r="CB97" s="24" t="s">
        <v>173</v>
      </c>
      <c r="CC97" s="24" t="s">
        <v>173</v>
      </c>
      <c r="CD97" s="24" t="s">
        <v>173</v>
      </c>
      <c r="CE97" s="24" t="s">
        <v>173</v>
      </c>
      <c r="CF97" s="24">
        <v>8.3000000000000001E-3</v>
      </c>
      <c r="CG97" s="24">
        <v>0</v>
      </c>
      <c r="CH97" s="24" t="s">
        <v>173</v>
      </c>
      <c r="CI97" s="24">
        <v>0.1057</v>
      </c>
      <c r="CJ97" s="24">
        <v>6.08E-2</v>
      </c>
      <c r="CK97" s="24">
        <v>0.22339999999999999</v>
      </c>
      <c r="CL97" s="24">
        <v>1.7899999999999999E-2</v>
      </c>
      <c r="CM97" s="24">
        <v>0.1527</v>
      </c>
      <c r="CN97" s="24">
        <v>0</v>
      </c>
      <c r="CO97" s="24" t="s">
        <v>173</v>
      </c>
      <c r="CP97" s="24" t="s">
        <v>173</v>
      </c>
      <c r="CQ97" s="24" t="s">
        <v>173</v>
      </c>
      <c r="CR97" s="24" t="s">
        <v>173</v>
      </c>
      <c r="CS97" s="24" t="s">
        <v>173</v>
      </c>
      <c r="CT97" s="24" t="s">
        <v>173</v>
      </c>
      <c r="CU97" s="24" t="s">
        <v>173</v>
      </c>
      <c r="CV97" s="24" t="s">
        <v>173</v>
      </c>
      <c r="CW97" s="24" t="s">
        <v>173</v>
      </c>
      <c r="CX97" s="24">
        <v>0</v>
      </c>
      <c r="CY97" s="24">
        <v>0.42630000000000001</v>
      </c>
      <c r="CZ97" s="24" t="s">
        <v>173</v>
      </c>
      <c r="DA97" s="24" t="s">
        <v>173</v>
      </c>
      <c r="DB97" s="24" t="s">
        <v>173</v>
      </c>
      <c r="DC97" s="24">
        <f t="shared" si="28"/>
        <v>0.16650000000000001</v>
      </c>
      <c r="DD97" s="24">
        <f t="shared" si="29"/>
        <v>8.3000000000000001E-3</v>
      </c>
      <c r="DE97" s="24">
        <f t="shared" si="31"/>
        <v>0.37609999999999999</v>
      </c>
      <c r="DG97" s="5" t="e">
        <f t="shared" si="30"/>
        <v>#DIV/0!</v>
      </c>
    </row>
    <row r="98" spans="1:111" ht="15" thickBot="1">
      <c r="A98" s="27"/>
      <c r="B98" s="35"/>
      <c r="C98" s="29" t="s">
        <v>133</v>
      </c>
      <c r="D98" t="s">
        <v>140</v>
      </c>
      <c r="E98" s="29" t="s">
        <v>125</v>
      </c>
      <c r="F98" s="30" t="s">
        <v>123</v>
      </c>
      <c r="G98" s="31">
        <v>33.96</v>
      </c>
      <c r="H98" s="31">
        <v>5.36</v>
      </c>
      <c r="I98" s="31">
        <v>2.21</v>
      </c>
      <c r="K98" s="31">
        <v>20.260000000000002</v>
      </c>
      <c r="L98" s="31"/>
      <c r="M98" s="31">
        <v>1.0569999999999999</v>
      </c>
      <c r="N98" s="31">
        <v>9.7000000000000003E-2</v>
      </c>
      <c r="O98" s="31">
        <v>33.450000000000003</v>
      </c>
      <c r="Q98" s="31">
        <v>0.08</v>
      </c>
      <c r="S98" s="31"/>
      <c r="T98" s="31"/>
      <c r="V98" s="31"/>
      <c r="W98" s="31"/>
      <c r="X98" s="31">
        <v>0.151</v>
      </c>
      <c r="AB98" s="31">
        <v>0</v>
      </c>
      <c r="BG98">
        <f t="shared" si="35"/>
        <v>0</v>
      </c>
      <c r="BH98">
        <f t="shared" si="36"/>
        <v>0</v>
      </c>
      <c r="BI98">
        <f t="shared" si="37"/>
        <v>0</v>
      </c>
      <c r="BJ98">
        <f t="shared" si="38"/>
        <v>0</v>
      </c>
      <c r="BK98">
        <f t="shared" si="39"/>
        <v>0</v>
      </c>
      <c r="BL98">
        <f t="shared" si="40"/>
        <v>0</v>
      </c>
      <c r="BM98">
        <f t="shared" si="41"/>
        <v>0</v>
      </c>
      <c r="BN98">
        <f t="shared" si="42"/>
        <v>0</v>
      </c>
      <c r="BO98">
        <f t="shared" si="43"/>
        <v>0</v>
      </c>
      <c r="BP98">
        <f t="shared" si="44"/>
        <v>0</v>
      </c>
      <c r="BQ98">
        <f t="shared" si="45"/>
        <v>0</v>
      </c>
      <c r="BR98">
        <f t="shared" si="46"/>
        <v>0</v>
      </c>
      <c r="BS98">
        <f t="shared" si="47"/>
        <v>0</v>
      </c>
      <c r="BT98">
        <f t="shared" si="48"/>
        <v>0</v>
      </c>
      <c r="BU98" t="e">
        <f t="shared" si="49"/>
        <v>#DIV/0!</v>
      </c>
      <c r="BV98" t="e">
        <f t="shared" si="50"/>
        <v>#DIV/0!</v>
      </c>
      <c r="BX98" t="e">
        <f t="shared" si="51"/>
        <v>#DIV/0!</v>
      </c>
      <c r="BZ98" s="41" t="s">
        <v>173</v>
      </c>
      <c r="CA98" s="24"/>
      <c r="CB98" s="24" t="s">
        <v>173</v>
      </c>
      <c r="CC98" s="31" t="s">
        <v>173</v>
      </c>
      <c r="CD98" s="31" t="s">
        <v>173</v>
      </c>
      <c r="CE98" s="31" t="s">
        <v>173</v>
      </c>
      <c r="CF98" s="31">
        <v>3.0999999999999999E-3</v>
      </c>
      <c r="CG98" s="31">
        <v>0</v>
      </c>
      <c r="CH98" s="31" t="s">
        <v>173</v>
      </c>
      <c r="CI98" s="31">
        <v>0</v>
      </c>
      <c r="CJ98" s="31">
        <v>7.0999999999999994E-2</v>
      </c>
      <c r="CK98" s="31">
        <v>2.1700000000000001E-2</v>
      </c>
      <c r="CL98" s="31">
        <v>6.4999999999999997E-3</v>
      </c>
      <c r="CM98" s="31">
        <v>0.1323</v>
      </c>
      <c r="CN98" s="31">
        <v>0</v>
      </c>
      <c r="CO98" s="29" t="s">
        <v>173</v>
      </c>
      <c r="CP98" s="29" t="s">
        <v>173</v>
      </c>
      <c r="CQ98" s="42" t="s">
        <v>173</v>
      </c>
      <c r="CR98" s="42" t="s">
        <v>173</v>
      </c>
      <c r="CS98" s="42" t="s">
        <v>173</v>
      </c>
      <c r="CT98" s="42" t="s">
        <v>173</v>
      </c>
      <c r="CU98" s="43">
        <v>2.3E-3</v>
      </c>
      <c r="CV98" s="29" t="s">
        <v>173</v>
      </c>
      <c r="CW98" s="42" t="s">
        <v>173</v>
      </c>
      <c r="CX98" s="42">
        <v>3.2899999999999999E-2</v>
      </c>
      <c r="CY98" s="42">
        <v>0.7006</v>
      </c>
      <c r="CZ98" s="42" t="s">
        <v>173</v>
      </c>
      <c r="DA98" s="42" t="s">
        <v>173</v>
      </c>
      <c r="DB98" s="42" t="s">
        <v>173</v>
      </c>
      <c r="DC98" s="24">
        <f t="shared" si="28"/>
        <v>7.0999999999999994E-2</v>
      </c>
      <c r="DD98" s="24">
        <f t="shared" si="29"/>
        <v>3.0999999999999999E-3</v>
      </c>
      <c r="DE98" s="24">
        <f t="shared" si="31"/>
        <v>0.154</v>
      </c>
      <c r="DG98" s="5" t="e">
        <f t="shared" si="30"/>
        <v>#DIV/0!</v>
      </c>
    </row>
    <row r="99" spans="1:111" ht="15" thickBot="1">
      <c r="A99" s="32"/>
      <c r="B99" s="36"/>
      <c r="C99" s="29"/>
      <c r="E99" s="29"/>
      <c r="F99" s="30"/>
      <c r="G99" s="31"/>
      <c r="H99" s="31"/>
      <c r="I99" s="31"/>
      <c r="K99" s="31"/>
      <c r="L99" s="31"/>
      <c r="M99" s="31"/>
      <c r="N99" s="31"/>
      <c r="O99" s="31"/>
      <c r="Q99" s="31"/>
      <c r="S99" s="31"/>
      <c r="T99" s="31"/>
      <c r="V99" s="31"/>
      <c r="W99" s="31"/>
      <c r="X99" s="31"/>
      <c r="AB99" s="31"/>
      <c r="BZ99" s="41"/>
      <c r="CA99" s="24"/>
      <c r="CB99" s="24"/>
      <c r="CC99" s="31"/>
      <c r="CD99" s="31"/>
      <c r="CE99" s="31"/>
      <c r="CF99" s="31"/>
      <c r="CG99" s="31"/>
      <c r="CH99" s="31"/>
      <c r="CI99" s="31"/>
      <c r="CJ99" s="31">
        <v>0</v>
      </c>
      <c r="CK99" s="31">
        <v>0</v>
      </c>
      <c r="CL99" s="31">
        <v>0</v>
      </c>
      <c r="CM99" s="31">
        <v>0</v>
      </c>
      <c r="CN99" s="31">
        <v>0</v>
      </c>
      <c r="CO99" s="29"/>
      <c r="CP99" s="29"/>
      <c r="CQ99" s="42"/>
      <c r="CR99" s="42"/>
      <c r="CS99" s="42"/>
      <c r="CT99" s="42"/>
      <c r="CU99" s="43"/>
      <c r="CV99" s="29"/>
      <c r="CW99" s="42"/>
      <c r="CX99" s="42">
        <v>0</v>
      </c>
      <c r="CY99" s="42"/>
      <c r="CZ99" s="42"/>
      <c r="DA99" s="42"/>
      <c r="DB99" s="42"/>
      <c r="DC99" s="24">
        <f t="shared" si="28"/>
        <v>0</v>
      </c>
      <c r="DD99" s="24">
        <f t="shared" si="29"/>
        <v>0</v>
      </c>
      <c r="DE99" s="24">
        <f t="shared" si="31"/>
        <v>0</v>
      </c>
      <c r="DG99" s="5" t="e">
        <f t="shared" si="30"/>
        <v>#DIV/0!</v>
      </c>
    </row>
    <row r="100" spans="1:111" ht="15" thickBot="1">
      <c r="A100" s="27"/>
      <c r="B100" s="35"/>
      <c r="C100" s="29" t="s">
        <v>134</v>
      </c>
      <c r="D100" t="s">
        <v>140</v>
      </c>
      <c r="E100" s="29" t="s">
        <v>121</v>
      </c>
      <c r="F100" s="30" t="s">
        <v>122</v>
      </c>
      <c r="G100" s="31">
        <v>33.22</v>
      </c>
      <c r="H100" s="31">
        <v>5.5</v>
      </c>
      <c r="I100" s="31">
        <v>1.89</v>
      </c>
      <c r="K100" s="31">
        <v>18.78</v>
      </c>
      <c r="L100" s="31"/>
      <c r="M100" s="31">
        <v>1.71</v>
      </c>
      <c r="N100" s="31">
        <v>0.13200000000000001</v>
      </c>
      <c r="O100" s="31">
        <v>33.97</v>
      </c>
      <c r="Q100" s="31">
        <v>0.112</v>
      </c>
      <c r="S100" s="31"/>
      <c r="T100" s="31"/>
      <c r="V100" s="31"/>
      <c r="W100" s="31"/>
      <c r="X100" s="31">
        <v>0.29599999999999999</v>
      </c>
      <c r="AB100" s="31">
        <v>4.2999999999999997E-2</v>
      </c>
      <c r="BG100">
        <f t="shared" si="35"/>
        <v>0</v>
      </c>
      <c r="BH100">
        <f t="shared" si="36"/>
        <v>0</v>
      </c>
      <c r="BI100">
        <f t="shared" si="37"/>
        <v>0</v>
      </c>
      <c r="BJ100">
        <f t="shared" si="38"/>
        <v>0</v>
      </c>
      <c r="BK100">
        <f t="shared" si="39"/>
        <v>0</v>
      </c>
      <c r="BL100">
        <f t="shared" si="40"/>
        <v>0</v>
      </c>
      <c r="BM100">
        <f t="shared" si="41"/>
        <v>0</v>
      </c>
      <c r="BN100">
        <f t="shared" si="42"/>
        <v>0</v>
      </c>
      <c r="BO100">
        <f t="shared" si="43"/>
        <v>0</v>
      </c>
      <c r="BP100">
        <f t="shared" si="44"/>
        <v>0</v>
      </c>
      <c r="BQ100">
        <f t="shared" si="45"/>
        <v>0</v>
      </c>
      <c r="BR100">
        <f t="shared" si="46"/>
        <v>0</v>
      </c>
      <c r="BS100">
        <f t="shared" si="47"/>
        <v>0</v>
      </c>
      <c r="BT100">
        <f t="shared" si="48"/>
        <v>0</v>
      </c>
      <c r="BU100" t="e">
        <f t="shared" si="49"/>
        <v>#DIV/0!</v>
      </c>
      <c r="BV100" t="e">
        <f t="shared" si="50"/>
        <v>#DIV/0!</v>
      </c>
      <c r="BX100" t="e">
        <f t="shared" si="51"/>
        <v>#DIV/0!</v>
      </c>
      <c r="BZ100" s="41" t="s">
        <v>173</v>
      </c>
      <c r="CA100" s="24"/>
      <c r="CB100" s="24" t="s">
        <v>173</v>
      </c>
      <c r="CC100" s="31" t="s">
        <v>173</v>
      </c>
      <c r="CD100" s="31" t="s">
        <v>173</v>
      </c>
      <c r="CE100" s="31" t="s">
        <v>173</v>
      </c>
      <c r="CF100" s="31">
        <v>6.1000000000000004E-3</v>
      </c>
      <c r="CG100" s="31">
        <v>0</v>
      </c>
      <c r="CH100" s="31" t="s">
        <v>173</v>
      </c>
      <c r="CI100" s="31">
        <v>2.8999999999999998E-3</v>
      </c>
      <c r="CJ100" s="31">
        <v>8.7999999999999995E-2</v>
      </c>
      <c r="CK100" s="31">
        <v>0</v>
      </c>
      <c r="CL100" s="31">
        <v>9.1999999999999998E-3</v>
      </c>
      <c r="CM100" s="31">
        <v>0.14940000000000001</v>
      </c>
      <c r="CN100" s="31">
        <v>0</v>
      </c>
      <c r="CO100" s="29" t="s">
        <v>173</v>
      </c>
      <c r="CP100" s="29" t="s">
        <v>173</v>
      </c>
      <c r="CQ100" s="42" t="s">
        <v>173</v>
      </c>
      <c r="CR100" s="42" t="s">
        <v>173</v>
      </c>
      <c r="CS100" s="42" t="s">
        <v>173</v>
      </c>
      <c r="CT100" s="42" t="s">
        <v>173</v>
      </c>
      <c r="CU100" s="43" t="s">
        <v>173</v>
      </c>
      <c r="CV100" s="29" t="s">
        <v>173</v>
      </c>
      <c r="CW100" s="42" t="s">
        <v>173</v>
      </c>
      <c r="CX100" s="42">
        <v>0</v>
      </c>
      <c r="CY100" s="42">
        <v>0.66039999999999999</v>
      </c>
      <c r="CZ100" s="42" t="s">
        <v>173</v>
      </c>
      <c r="DA100" s="42" t="s">
        <v>173</v>
      </c>
      <c r="DB100" s="42" t="s">
        <v>173</v>
      </c>
      <c r="DC100" s="24">
        <f t="shared" si="28"/>
        <v>9.0899999999999995E-2</v>
      </c>
      <c r="DD100" s="24">
        <f t="shared" si="29"/>
        <v>6.1000000000000004E-3</v>
      </c>
      <c r="DE100" s="24">
        <f t="shared" si="31"/>
        <v>0.14940000000000001</v>
      </c>
      <c r="DG100" s="5" t="e">
        <f t="shared" si="30"/>
        <v>#DIV/0!</v>
      </c>
    </row>
    <row r="101" spans="1:111" ht="15" thickBot="1">
      <c r="A101" s="27"/>
      <c r="B101" s="35"/>
      <c r="C101" s="29" t="s">
        <v>134</v>
      </c>
      <c r="D101" t="s">
        <v>140</v>
      </c>
      <c r="E101" s="29" t="s">
        <v>121</v>
      </c>
      <c r="F101" s="30" t="s">
        <v>123</v>
      </c>
      <c r="G101" s="31">
        <v>33.68</v>
      </c>
      <c r="H101" s="31">
        <v>3.68</v>
      </c>
      <c r="I101" s="31">
        <v>2.02</v>
      </c>
      <c r="K101" s="31">
        <v>20.420000000000002</v>
      </c>
      <c r="L101" s="31"/>
      <c r="M101" s="31">
        <v>1.359</v>
      </c>
      <c r="N101" s="31">
        <v>0.113</v>
      </c>
      <c r="O101" s="31">
        <v>34.270000000000003</v>
      </c>
      <c r="Q101" s="31">
        <v>7.0000000000000007E-2</v>
      </c>
      <c r="S101" s="31"/>
      <c r="T101" s="31"/>
      <c r="V101" s="31"/>
      <c r="W101" s="31"/>
      <c r="X101" s="31">
        <v>0.311</v>
      </c>
      <c r="AB101" s="31">
        <v>3.4000000000000002E-2</v>
      </c>
      <c r="BG101">
        <f t="shared" si="35"/>
        <v>0</v>
      </c>
      <c r="BH101">
        <f t="shared" si="36"/>
        <v>0</v>
      </c>
      <c r="BI101">
        <f t="shared" si="37"/>
        <v>0</v>
      </c>
      <c r="BJ101">
        <f t="shared" si="38"/>
        <v>0</v>
      </c>
      <c r="BK101">
        <f t="shared" si="39"/>
        <v>0</v>
      </c>
      <c r="BL101">
        <f t="shared" si="40"/>
        <v>0</v>
      </c>
      <c r="BM101">
        <f t="shared" si="41"/>
        <v>0</v>
      </c>
      <c r="BN101">
        <f t="shared" si="42"/>
        <v>0</v>
      </c>
      <c r="BO101">
        <f t="shared" si="43"/>
        <v>0</v>
      </c>
      <c r="BP101">
        <f t="shared" si="44"/>
        <v>0</v>
      </c>
      <c r="BQ101">
        <f t="shared" si="45"/>
        <v>0</v>
      </c>
      <c r="BR101">
        <f t="shared" si="46"/>
        <v>0</v>
      </c>
      <c r="BS101">
        <f t="shared" si="47"/>
        <v>0</v>
      </c>
      <c r="BT101">
        <f t="shared" si="48"/>
        <v>0</v>
      </c>
      <c r="BU101" t="e">
        <f t="shared" si="49"/>
        <v>#DIV/0!</v>
      </c>
      <c r="BV101" t="e">
        <f t="shared" si="50"/>
        <v>#DIV/0!</v>
      </c>
      <c r="BX101" t="e">
        <f t="shared" si="51"/>
        <v>#DIV/0!</v>
      </c>
      <c r="BZ101" s="41" t="s">
        <v>173</v>
      </c>
      <c r="CA101" s="24"/>
      <c r="CB101" s="24" t="s">
        <v>173</v>
      </c>
      <c r="CC101" s="31" t="s">
        <v>173</v>
      </c>
      <c r="CD101" s="31" t="s">
        <v>173</v>
      </c>
      <c r="CE101" s="31" t="s">
        <v>173</v>
      </c>
      <c r="CF101" s="31">
        <v>6.4000000000000003E-3</v>
      </c>
      <c r="CG101" s="31">
        <v>0</v>
      </c>
      <c r="CH101" s="31" t="s">
        <v>173</v>
      </c>
      <c r="CI101" s="31">
        <v>0</v>
      </c>
      <c r="CJ101" s="31">
        <v>7.5999999999999998E-2</v>
      </c>
      <c r="CK101" s="31">
        <v>0</v>
      </c>
      <c r="CL101" s="31">
        <v>5.7000000000000002E-3</v>
      </c>
      <c r="CM101" s="31">
        <v>6.9599999999999995E-2</v>
      </c>
      <c r="CN101" s="31">
        <v>0</v>
      </c>
      <c r="CO101" s="29" t="s">
        <v>173</v>
      </c>
      <c r="CP101" s="29" t="s">
        <v>173</v>
      </c>
      <c r="CQ101" s="42" t="s">
        <v>173</v>
      </c>
      <c r="CR101" s="42" t="s">
        <v>173</v>
      </c>
      <c r="CS101" s="42" t="s">
        <v>173</v>
      </c>
      <c r="CT101" s="42" t="s">
        <v>173</v>
      </c>
      <c r="CU101" s="43" t="s">
        <v>173</v>
      </c>
      <c r="CV101" s="29" t="s">
        <v>173</v>
      </c>
      <c r="CW101" s="42" t="s">
        <v>173</v>
      </c>
      <c r="CX101" s="42">
        <v>1.78E-2</v>
      </c>
      <c r="CY101" s="42">
        <v>0.71879999999999999</v>
      </c>
      <c r="CZ101" s="42" t="s">
        <v>173</v>
      </c>
      <c r="DA101" s="42" t="s">
        <v>173</v>
      </c>
      <c r="DB101" s="42" t="s">
        <v>173</v>
      </c>
      <c r="DC101" s="24">
        <f t="shared" si="28"/>
        <v>7.5999999999999998E-2</v>
      </c>
      <c r="DD101" s="24">
        <f t="shared" si="29"/>
        <v>6.4000000000000003E-3</v>
      </c>
      <c r="DE101" s="24">
        <f t="shared" si="31"/>
        <v>6.9599999999999995E-2</v>
      </c>
      <c r="DG101" s="5" t="e">
        <f t="shared" si="30"/>
        <v>#DIV/0!</v>
      </c>
    </row>
    <row r="102" spans="1:111" ht="15" thickBot="1">
      <c r="A102" s="37"/>
      <c r="B102" s="38"/>
      <c r="C102" s="24"/>
      <c r="E102" s="24"/>
      <c r="F102" s="25"/>
      <c r="G102" s="24"/>
      <c r="H102" s="24"/>
      <c r="I102" s="24"/>
      <c r="K102" s="24"/>
      <c r="L102" s="24"/>
      <c r="M102" s="24"/>
      <c r="N102" s="24"/>
      <c r="O102" s="24"/>
      <c r="Q102" s="24"/>
      <c r="S102" s="24"/>
      <c r="T102" s="24"/>
      <c r="V102" s="24"/>
      <c r="W102" s="24"/>
      <c r="X102" s="24"/>
      <c r="AB102" s="24"/>
      <c r="BZ102" s="44"/>
      <c r="CA102" s="24"/>
      <c r="CB102" s="24"/>
      <c r="CC102" s="31"/>
      <c r="CD102" s="31"/>
      <c r="CE102" s="31"/>
      <c r="CF102" s="31"/>
      <c r="CG102" s="31"/>
      <c r="CH102" s="31"/>
      <c r="CI102" s="31"/>
      <c r="CJ102" s="31">
        <v>0</v>
      </c>
      <c r="CK102" s="31">
        <v>0</v>
      </c>
      <c r="CL102" s="31">
        <v>0</v>
      </c>
      <c r="CM102" s="31">
        <v>0</v>
      </c>
      <c r="CN102" s="31">
        <v>0</v>
      </c>
      <c r="CO102" s="29"/>
      <c r="CP102" s="29"/>
      <c r="CQ102" s="42"/>
      <c r="CR102" s="42"/>
      <c r="CS102" s="42"/>
      <c r="CT102" s="42"/>
      <c r="CU102" s="43"/>
      <c r="CV102" s="29"/>
      <c r="CW102" s="42"/>
      <c r="CX102" s="42">
        <v>0</v>
      </c>
      <c r="CY102" s="42"/>
      <c r="CZ102" s="42"/>
      <c r="DA102" s="42"/>
      <c r="DB102" s="42"/>
      <c r="DC102" s="24">
        <f t="shared" si="28"/>
        <v>0</v>
      </c>
      <c r="DD102" s="24">
        <f t="shared" si="29"/>
        <v>0</v>
      </c>
      <c r="DE102" s="24">
        <f t="shared" si="31"/>
        <v>0</v>
      </c>
      <c r="DG102" s="5" t="e">
        <f t="shared" si="30"/>
        <v>#DIV/0!</v>
      </c>
    </row>
    <row r="103" spans="1:111" ht="15" thickBot="1">
      <c r="A103" s="28"/>
      <c r="B103" s="35"/>
      <c r="C103" s="29" t="s">
        <v>135</v>
      </c>
      <c r="D103" t="s">
        <v>140</v>
      </c>
      <c r="E103" s="29" t="s">
        <v>136</v>
      </c>
      <c r="F103" s="30" t="s">
        <v>122</v>
      </c>
      <c r="G103" s="31">
        <v>30.22</v>
      </c>
      <c r="H103" s="31">
        <v>13.98</v>
      </c>
      <c r="I103" s="31">
        <v>0.52500000000000002</v>
      </c>
      <c r="K103" s="31">
        <v>17.149999999999999</v>
      </c>
      <c r="L103" s="31"/>
      <c r="M103" s="31">
        <v>1.1830000000000001</v>
      </c>
      <c r="N103" s="31">
        <v>0.31</v>
      </c>
      <c r="O103" s="31">
        <v>32.43</v>
      </c>
      <c r="Q103" s="31">
        <v>0.53800000000000003</v>
      </c>
      <c r="S103" s="31"/>
      <c r="T103" s="31"/>
      <c r="V103" s="31"/>
      <c r="W103" s="31"/>
      <c r="X103" s="31">
        <v>1.109</v>
      </c>
      <c r="AB103" s="31">
        <v>0.11600000000000001</v>
      </c>
      <c r="BG103">
        <f t="shared" si="35"/>
        <v>0</v>
      </c>
      <c r="BH103">
        <f t="shared" si="36"/>
        <v>0</v>
      </c>
      <c r="BI103">
        <f t="shared" si="37"/>
        <v>0</v>
      </c>
      <c r="BJ103">
        <f t="shared" si="38"/>
        <v>0</v>
      </c>
      <c r="BK103">
        <f t="shared" si="39"/>
        <v>0</v>
      </c>
      <c r="BL103">
        <f t="shared" si="40"/>
        <v>0</v>
      </c>
      <c r="BM103">
        <f t="shared" si="41"/>
        <v>0</v>
      </c>
      <c r="BN103">
        <f t="shared" si="42"/>
        <v>0</v>
      </c>
      <c r="BO103">
        <f t="shared" si="43"/>
        <v>0</v>
      </c>
      <c r="BP103">
        <f t="shared" si="44"/>
        <v>0</v>
      </c>
      <c r="BQ103">
        <f t="shared" si="45"/>
        <v>0</v>
      </c>
      <c r="BR103">
        <f t="shared" si="46"/>
        <v>0</v>
      </c>
      <c r="BS103">
        <f t="shared" si="47"/>
        <v>0</v>
      </c>
      <c r="BT103">
        <f t="shared" si="48"/>
        <v>0</v>
      </c>
      <c r="BU103" t="e">
        <f t="shared" si="49"/>
        <v>#DIV/0!</v>
      </c>
      <c r="BV103" t="e">
        <f t="shared" si="50"/>
        <v>#DIV/0!</v>
      </c>
      <c r="BX103" t="e">
        <f t="shared" si="51"/>
        <v>#DIV/0!</v>
      </c>
      <c r="BZ103" s="41" t="s">
        <v>173</v>
      </c>
      <c r="CA103" s="24"/>
      <c r="CB103" s="24" t="s">
        <v>173</v>
      </c>
      <c r="CC103" s="31" t="s">
        <v>173</v>
      </c>
      <c r="CD103" s="31" t="s">
        <v>173</v>
      </c>
      <c r="CE103" s="31" t="s">
        <v>173</v>
      </c>
      <c r="CF103" s="31">
        <v>2.3E-2</v>
      </c>
      <c r="CG103" s="31">
        <v>0</v>
      </c>
      <c r="CH103" s="31" t="s">
        <v>173</v>
      </c>
      <c r="CI103" s="31">
        <v>0.1885</v>
      </c>
      <c r="CJ103" s="31">
        <v>3.3E-3</v>
      </c>
      <c r="CK103" s="31">
        <v>0.20569999999999999</v>
      </c>
      <c r="CL103" s="31">
        <v>4.4400000000000002E-2</v>
      </c>
      <c r="CM103" s="31">
        <v>0.15</v>
      </c>
      <c r="CN103" s="31">
        <v>0</v>
      </c>
      <c r="CO103" s="29" t="s">
        <v>173</v>
      </c>
      <c r="CP103" s="29" t="s">
        <v>173</v>
      </c>
      <c r="CQ103" s="42" t="s">
        <v>173</v>
      </c>
      <c r="CR103" s="42" t="s">
        <v>173</v>
      </c>
      <c r="CS103" s="42" t="s">
        <v>173</v>
      </c>
      <c r="CT103" s="42" t="s">
        <v>173</v>
      </c>
      <c r="CU103" s="43" t="s">
        <v>173</v>
      </c>
      <c r="CV103" s="29" t="s">
        <v>173</v>
      </c>
      <c r="CW103" s="42" t="s">
        <v>173</v>
      </c>
      <c r="CX103" s="42">
        <v>0</v>
      </c>
      <c r="CY103" s="42">
        <v>0.31859999999999999</v>
      </c>
      <c r="CZ103" s="42" t="s">
        <v>173</v>
      </c>
      <c r="DA103" s="42" t="s">
        <v>173</v>
      </c>
      <c r="DB103" s="42" t="s">
        <v>173</v>
      </c>
      <c r="DC103" s="24">
        <f t="shared" si="28"/>
        <v>0.1918</v>
      </c>
      <c r="DD103" s="24">
        <f t="shared" si="29"/>
        <v>2.3E-2</v>
      </c>
      <c r="DE103" s="24">
        <f t="shared" si="31"/>
        <v>0.35570000000000002</v>
      </c>
      <c r="DG103" s="5" t="e">
        <f t="shared" si="30"/>
        <v>#DIV/0!</v>
      </c>
    </row>
    <row r="104" spans="1:111" ht="15" thickBot="1">
      <c r="A104" s="32"/>
      <c r="B104" s="36"/>
      <c r="C104" s="29" t="s">
        <v>135</v>
      </c>
      <c r="D104" t="s">
        <v>140</v>
      </c>
      <c r="E104" s="29" t="s">
        <v>136</v>
      </c>
      <c r="F104" s="30" t="s">
        <v>137</v>
      </c>
      <c r="G104" s="31">
        <v>30.9</v>
      </c>
      <c r="H104" s="31">
        <v>12.48</v>
      </c>
      <c r="I104" s="31">
        <v>0.63</v>
      </c>
      <c r="K104" s="31">
        <v>18.2</v>
      </c>
      <c r="L104" s="31"/>
      <c r="M104" s="31">
        <v>1.2230000000000001</v>
      </c>
      <c r="N104" s="31">
        <v>0.222</v>
      </c>
      <c r="O104" s="31">
        <v>32.979999999999997</v>
      </c>
      <c r="Q104" s="31">
        <v>0.371</v>
      </c>
      <c r="S104" s="31"/>
      <c r="T104" s="31"/>
      <c r="V104" s="31"/>
      <c r="W104" s="31"/>
      <c r="X104" s="31">
        <v>0.60299999999999998</v>
      </c>
      <c r="AB104" s="31">
        <v>0.11700000000000001</v>
      </c>
      <c r="BG104">
        <f t="shared" si="35"/>
        <v>0</v>
      </c>
      <c r="BH104">
        <f t="shared" si="36"/>
        <v>0</v>
      </c>
      <c r="BI104">
        <f t="shared" si="37"/>
        <v>0</v>
      </c>
      <c r="BJ104">
        <f t="shared" si="38"/>
        <v>0</v>
      </c>
      <c r="BK104">
        <f t="shared" si="39"/>
        <v>0</v>
      </c>
      <c r="BL104">
        <f t="shared" si="40"/>
        <v>0</v>
      </c>
      <c r="BM104">
        <f t="shared" si="41"/>
        <v>0</v>
      </c>
      <c r="BN104">
        <f t="shared" si="42"/>
        <v>0</v>
      </c>
      <c r="BO104">
        <f t="shared" si="43"/>
        <v>0</v>
      </c>
      <c r="BP104">
        <f t="shared" si="44"/>
        <v>0</v>
      </c>
      <c r="BQ104">
        <f t="shared" si="45"/>
        <v>0</v>
      </c>
      <c r="BR104">
        <f t="shared" si="46"/>
        <v>0</v>
      </c>
      <c r="BS104">
        <f t="shared" si="47"/>
        <v>0</v>
      </c>
      <c r="BT104">
        <f t="shared" si="48"/>
        <v>0</v>
      </c>
      <c r="BU104" t="e">
        <f t="shared" si="49"/>
        <v>#DIV/0!</v>
      </c>
      <c r="BV104" t="e">
        <f t="shared" si="50"/>
        <v>#DIV/0!</v>
      </c>
      <c r="BX104" t="e">
        <f t="shared" si="51"/>
        <v>#DIV/0!</v>
      </c>
      <c r="BZ104" s="41" t="s">
        <v>173</v>
      </c>
      <c r="CA104" s="24"/>
      <c r="CB104" s="24" t="s">
        <v>173</v>
      </c>
      <c r="CC104" s="24" t="s">
        <v>173</v>
      </c>
      <c r="CD104" s="24" t="s">
        <v>173</v>
      </c>
      <c r="CE104" s="24" t="s">
        <v>173</v>
      </c>
      <c r="CF104" s="24">
        <v>1.24E-2</v>
      </c>
      <c r="CG104" s="31">
        <v>0</v>
      </c>
      <c r="CH104" s="24" t="s">
        <v>173</v>
      </c>
      <c r="CI104" s="24">
        <v>0.16220000000000001</v>
      </c>
      <c r="CJ104" s="24">
        <v>1.9E-2</v>
      </c>
      <c r="CK104" s="24">
        <v>0.15190000000000001</v>
      </c>
      <c r="CL104" s="24">
        <v>3.04E-2</v>
      </c>
      <c r="CM104" s="24">
        <v>0.1542</v>
      </c>
      <c r="CN104" s="24">
        <v>0</v>
      </c>
      <c r="CO104" s="24" t="s">
        <v>173</v>
      </c>
      <c r="CP104" s="24" t="s">
        <v>173</v>
      </c>
      <c r="CQ104" s="24" t="s">
        <v>173</v>
      </c>
      <c r="CR104" s="24" t="s">
        <v>173</v>
      </c>
      <c r="CS104" s="24" t="s">
        <v>173</v>
      </c>
      <c r="CT104" s="24" t="s">
        <v>173</v>
      </c>
      <c r="CU104" s="24" t="s">
        <v>173</v>
      </c>
      <c r="CV104" s="24" t="s">
        <v>173</v>
      </c>
      <c r="CW104" s="24" t="s">
        <v>173</v>
      </c>
      <c r="CX104" s="42">
        <v>0</v>
      </c>
      <c r="CY104" s="24">
        <v>0.40529999999999999</v>
      </c>
      <c r="CZ104" s="24" t="s">
        <v>173</v>
      </c>
      <c r="DA104" s="24" t="s">
        <v>173</v>
      </c>
      <c r="DB104" s="24" t="s">
        <v>173</v>
      </c>
      <c r="DC104" s="24">
        <f t="shared" si="28"/>
        <v>0.1812</v>
      </c>
      <c r="DD104" s="24">
        <f t="shared" si="29"/>
        <v>1.24E-2</v>
      </c>
      <c r="DE104" s="24">
        <f t="shared" si="31"/>
        <v>0.30610000000000004</v>
      </c>
      <c r="DG104" s="5" t="e">
        <f t="shared" si="30"/>
        <v>#DIV/0!</v>
      </c>
    </row>
    <row r="105" spans="1:111" ht="15" thickBot="1">
      <c r="A105" s="32"/>
      <c r="B105" s="36"/>
      <c r="C105" s="29" t="s">
        <v>135</v>
      </c>
      <c r="D105" t="s">
        <v>140</v>
      </c>
      <c r="E105" s="29" t="s">
        <v>136</v>
      </c>
      <c r="F105" s="30" t="s">
        <v>138</v>
      </c>
      <c r="G105" s="31">
        <v>34.770000000000003</v>
      </c>
      <c r="H105" s="31">
        <v>3.47</v>
      </c>
      <c r="I105" s="31">
        <v>1.7130000000000001</v>
      </c>
      <c r="K105" s="31">
        <v>21.58</v>
      </c>
      <c r="L105" s="31"/>
      <c r="M105" s="31">
        <v>0.91200000000000003</v>
      </c>
      <c r="N105" s="31">
        <v>9.9000000000000005E-2</v>
      </c>
      <c r="O105" s="31">
        <v>33.340000000000003</v>
      </c>
      <c r="Q105" s="31">
        <v>0.16200000000000001</v>
      </c>
      <c r="S105" s="31"/>
      <c r="T105" s="31"/>
      <c r="V105" s="31"/>
      <c r="W105" s="31"/>
      <c r="X105" s="31">
        <v>5.0999999999999997E-2</v>
      </c>
      <c r="AB105" s="31">
        <v>2.5000000000000001E-2</v>
      </c>
      <c r="BG105">
        <f t="shared" si="35"/>
        <v>0</v>
      </c>
      <c r="BH105">
        <f t="shared" si="36"/>
        <v>0</v>
      </c>
      <c r="BI105">
        <f t="shared" si="37"/>
        <v>0</v>
      </c>
      <c r="BJ105">
        <f t="shared" si="38"/>
        <v>0</v>
      </c>
      <c r="BK105">
        <f t="shared" si="39"/>
        <v>0</v>
      </c>
      <c r="BL105">
        <f t="shared" si="40"/>
        <v>0</v>
      </c>
      <c r="BM105">
        <f t="shared" si="41"/>
        <v>0</v>
      </c>
      <c r="BN105">
        <f t="shared" si="42"/>
        <v>0</v>
      </c>
      <c r="BO105">
        <f t="shared" si="43"/>
        <v>0</v>
      </c>
      <c r="BP105">
        <f t="shared" si="44"/>
        <v>0</v>
      </c>
      <c r="BQ105">
        <f t="shared" si="45"/>
        <v>0</v>
      </c>
      <c r="BR105">
        <f t="shared" si="46"/>
        <v>0</v>
      </c>
      <c r="BS105">
        <f t="shared" si="47"/>
        <v>0</v>
      </c>
      <c r="BT105">
        <f t="shared" si="48"/>
        <v>0</v>
      </c>
      <c r="BU105" t="e">
        <f t="shared" si="49"/>
        <v>#DIV/0!</v>
      </c>
      <c r="BV105" t="e">
        <f t="shared" si="50"/>
        <v>#DIV/0!</v>
      </c>
      <c r="BX105" t="e">
        <f t="shared" si="51"/>
        <v>#DIV/0!</v>
      </c>
      <c r="BZ105" s="41" t="s">
        <v>173</v>
      </c>
      <c r="CA105" s="24"/>
      <c r="CB105" s="45" t="s">
        <v>173</v>
      </c>
      <c r="CC105" s="24" t="s">
        <v>173</v>
      </c>
      <c r="CD105" s="24" t="s">
        <v>173</v>
      </c>
      <c r="CE105" s="24" t="s">
        <v>173</v>
      </c>
      <c r="CF105" s="24">
        <v>1E-3</v>
      </c>
      <c r="CG105" s="31">
        <v>0</v>
      </c>
      <c r="CH105" s="24" t="s">
        <v>173</v>
      </c>
      <c r="CI105" s="31">
        <v>0</v>
      </c>
      <c r="CJ105" s="24">
        <v>3.4200000000000001E-2</v>
      </c>
      <c r="CK105" s="24">
        <v>0</v>
      </c>
      <c r="CL105" s="24">
        <v>1.32E-2</v>
      </c>
      <c r="CM105" s="24">
        <v>0.1145</v>
      </c>
      <c r="CN105" s="24">
        <v>0</v>
      </c>
      <c r="CO105" s="24" t="s">
        <v>173</v>
      </c>
      <c r="CP105" s="24" t="s">
        <v>173</v>
      </c>
      <c r="CQ105" s="24" t="s">
        <v>173</v>
      </c>
      <c r="CR105" s="24" t="s">
        <v>173</v>
      </c>
      <c r="CS105" s="24" t="s">
        <v>173</v>
      </c>
      <c r="CT105" s="24" t="s">
        <v>173</v>
      </c>
      <c r="CU105" s="24" t="s">
        <v>173</v>
      </c>
      <c r="CV105" s="24" t="s">
        <v>173</v>
      </c>
      <c r="CW105" s="24" t="s">
        <v>173</v>
      </c>
      <c r="CX105" s="24">
        <v>4.9799999999999997E-2</v>
      </c>
      <c r="CY105" s="24">
        <v>0.76029999999999998</v>
      </c>
      <c r="CZ105" s="24" t="s">
        <v>173</v>
      </c>
      <c r="DA105" s="24" t="s">
        <v>173</v>
      </c>
      <c r="DB105" s="24" t="s">
        <v>173</v>
      </c>
      <c r="DC105" s="24">
        <f t="shared" si="28"/>
        <v>3.4200000000000001E-2</v>
      </c>
      <c r="DD105" s="24">
        <f t="shared" si="29"/>
        <v>1E-3</v>
      </c>
      <c r="DE105" s="24">
        <f t="shared" si="31"/>
        <v>0.1145</v>
      </c>
      <c r="DG105" s="5" t="e">
        <f t="shared" si="30"/>
        <v>#DIV/0!</v>
      </c>
    </row>
    <row r="106" spans="1:111" ht="15" thickBot="1">
      <c r="A106" s="32"/>
      <c r="B106" s="36"/>
      <c r="C106" s="29"/>
      <c r="E106" s="29"/>
      <c r="F106" s="30"/>
      <c r="G106" s="31"/>
      <c r="H106" s="31"/>
      <c r="I106" s="31"/>
      <c r="K106" s="31"/>
      <c r="L106" s="31"/>
      <c r="M106" s="31"/>
      <c r="N106" s="31"/>
      <c r="O106" s="31"/>
      <c r="Q106" s="31"/>
      <c r="S106" s="31"/>
      <c r="T106" s="31"/>
      <c r="V106" s="31"/>
      <c r="W106" s="31"/>
      <c r="X106" s="31"/>
      <c r="AB106" s="31"/>
      <c r="BZ106" s="41"/>
      <c r="CA106" s="24"/>
      <c r="CB106" s="45"/>
      <c r="CC106" s="24"/>
      <c r="CD106" s="24"/>
      <c r="CE106" s="24"/>
      <c r="CF106" s="24"/>
      <c r="CG106" s="24"/>
      <c r="CH106" s="24"/>
      <c r="CI106" s="24"/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/>
      <c r="CP106" s="24"/>
      <c r="CQ106" s="24"/>
      <c r="CR106" s="24"/>
      <c r="CS106" s="24"/>
      <c r="CT106" s="24"/>
      <c r="CU106" s="24"/>
      <c r="CV106" s="24"/>
      <c r="CW106" s="24"/>
      <c r="CX106" s="24">
        <v>0</v>
      </c>
      <c r="CY106" s="24"/>
      <c r="CZ106" s="24"/>
      <c r="DA106" s="24"/>
      <c r="DB106" s="24"/>
      <c r="DC106" s="24">
        <f t="shared" si="28"/>
        <v>0</v>
      </c>
      <c r="DD106" s="24">
        <f t="shared" si="29"/>
        <v>0</v>
      </c>
      <c r="DE106" s="24">
        <f t="shared" si="31"/>
        <v>0</v>
      </c>
      <c r="DG106" s="5" t="e">
        <f t="shared" si="30"/>
        <v>#DIV/0!</v>
      </c>
    </row>
    <row r="107" spans="1:111" ht="15" thickBot="1">
      <c r="A107" s="32"/>
      <c r="B107" s="36"/>
      <c r="C107" s="29" t="s">
        <v>135</v>
      </c>
      <c r="D107" t="s">
        <v>140</v>
      </c>
      <c r="E107" s="29" t="s">
        <v>121</v>
      </c>
      <c r="F107" s="30" t="s">
        <v>128</v>
      </c>
      <c r="G107" s="31">
        <v>28.31</v>
      </c>
      <c r="H107" s="31">
        <v>15.29</v>
      </c>
      <c r="I107" s="31">
        <v>0.28999999999999998</v>
      </c>
      <c r="K107" s="31">
        <v>15.75</v>
      </c>
      <c r="L107" s="31"/>
      <c r="M107" s="31">
        <v>0.98499999999999999</v>
      </c>
      <c r="N107" s="31">
        <v>0.379</v>
      </c>
      <c r="O107" s="31">
        <v>30.5</v>
      </c>
      <c r="Q107" s="31">
        <v>1.1020000000000001</v>
      </c>
      <c r="S107" s="31"/>
      <c r="T107" s="31"/>
      <c r="V107" s="31"/>
      <c r="W107" s="31"/>
      <c r="X107" s="31">
        <v>4.93</v>
      </c>
      <c r="AB107" s="31">
        <v>0.16400000000000001</v>
      </c>
      <c r="BG107">
        <f t="shared" si="35"/>
        <v>0</v>
      </c>
      <c r="BH107">
        <f t="shared" si="36"/>
        <v>0</v>
      </c>
      <c r="BI107">
        <f t="shared" si="37"/>
        <v>0</v>
      </c>
      <c r="BJ107">
        <f t="shared" si="38"/>
        <v>0</v>
      </c>
      <c r="BK107">
        <f t="shared" si="39"/>
        <v>0</v>
      </c>
      <c r="BL107">
        <f t="shared" si="40"/>
        <v>0</v>
      </c>
      <c r="BM107">
        <f t="shared" si="41"/>
        <v>0</v>
      </c>
      <c r="BN107">
        <f t="shared" si="42"/>
        <v>0</v>
      </c>
      <c r="BO107">
        <f t="shared" si="43"/>
        <v>0</v>
      </c>
      <c r="BP107">
        <f t="shared" si="44"/>
        <v>0</v>
      </c>
      <c r="BQ107">
        <f t="shared" si="45"/>
        <v>0</v>
      </c>
      <c r="BR107">
        <f t="shared" si="46"/>
        <v>0</v>
      </c>
      <c r="BS107">
        <f t="shared" si="47"/>
        <v>0</v>
      </c>
      <c r="BT107">
        <f t="shared" si="48"/>
        <v>0</v>
      </c>
      <c r="BU107" t="e">
        <f t="shared" si="49"/>
        <v>#DIV/0!</v>
      </c>
      <c r="BV107" t="e">
        <f t="shared" si="50"/>
        <v>#DIV/0!</v>
      </c>
      <c r="BX107" t="e">
        <f t="shared" si="51"/>
        <v>#DIV/0!</v>
      </c>
      <c r="BZ107" s="41" t="s">
        <v>173</v>
      </c>
      <c r="CA107" s="24"/>
      <c r="CB107" s="45" t="s">
        <v>173</v>
      </c>
      <c r="CC107" s="24" t="s">
        <v>173</v>
      </c>
      <c r="CD107" s="24" t="s">
        <v>173</v>
      </c>
      <c r="CE107" s="24" t="s">
        <v>173</v>
      </c>
      <c r="CF107" s="24">
        <v>1.4800000000000001E-2</v>
      </c>
      <c r="CG107" s="24">
        <v>8.9300000000000004E-2</v>
      </c>
      <c r="CH107" s="24" t="s">
        <v>173</v>
      </c>
      <c r="CI107" s="24">
        <v>0.16950000000000001</v>
      </c>
      <c r="CJ107" s="24">
        <v>0</v>
      </c>
      <c r="CK107" s="24">
        <v>0.30109999999999998</v>
      </c>
      <c r="CL107" s="24">
        <v>9.2600000000000002E-2</v>
      </c>
      <c r="CM107" s="24">
        <v>0.12720000000000001</v>
      </c>
      <c r="CN107" s="24">
        <v>0</v>
      </c>
      <c r="CO107" s="24" t="s">
        <v>173</v>
      </c>
      <c r="CP107" s="24" t="s">
        <v>173</v>
      </c>
      <c r="CQ107" s="24" t="s">
        <v>173</v>
      </c>
      <c r="CR107" s="24" t="s">
        <v>173</v>
      </c>
      <c r="CS107" s="24" t="s">
        <v>173</v>
      </c>
      <c r="CT107" s="24" t="s">
        <v>173</v>
      </c>
      <c r="CU107" s="24" t="s">
        <v>173</v>
      </c>
      <c r="CV107" s="24" t="s">
        <v>173</v>
      </c>
      <c r="CW107" s="24" t="s">
        <v>173</v>
      </c>
      <c r="CX107" s="42">
        <v>0</v>
      </c>
      <c r="CY107" s="24">
        <v>0.1613</v>
      </c>
      <c r="CZ107" s="24" t="s">
        <v>173</v>
      </c>
      <c r="DA107" s="24" t="s">
        <v>173</v>
      </c>
      <c r="DB107" s="24" t="s">
        <v>173</v>
      </c>
      <c r="DC107" s="24">
        <f t="shared" si="28"/>
        <v>0.16950000000000001</v>
      </c>
      <c r="DD107" s="24">
        <f t="shared" si="29"/>
        <v>0.1041</v>
      </c>
      <c r="DE107" s="24">
        <f t="shared" si="31"/>
        <v>0.42830000000000001</v>
      </c>
      <c r="DG107" s="5" t="e">
        <f t="shared" si="30"/>
        <v>#DIV/0!</v>
      </c>
    </row>
    <row r="108" spans="1:111" ht="15" thickBot="1">
      <c r="A108" s="32"/>
      <c r="B108" s="36"/>
      <c r="C108" s="29" t="s">
        <v>135</v>
      </c>
      <c r="D108" t="s">
        <v>140</v>
      </c>
      <c r="E108" s="29" t="s">
        <v>121</v>
      </c>
      <c r="F108" s="30" t="s">
        <v>129</v>
      </c>
      <c r="G108" s="31">
        <v>29.01</v>
      </c>
      <c r="H108" s="31">
        <v>15.25</v>
      </c>
      <c r="I108" s="31">
        <v>0.28999999999999998</v>
      </c>
      <c r="K108" s="31">
        <v>16.2</v>
      </c>
      <c r="L108" s="31"/>
      <c r="M108" s="31">
        <v>0.92800000000000005</v>
      </c>
      <c r="N108" s="31">
        <v>0.35699999999999998</v>
      </c>
      <c r="O108" s="31">
        <v>30.84</v>
      </c>
      <c r="Q108" s="31">
        <v>1.0489999999999999</v>
      </c>
      <c r="S108" s="31"/>
      <c r="T108" s="31"/>
      <c r="V108" s="31"/>
      <c r="W108" s="31"/>
      <c r="X108" s="31">
        <v>3.86</v>
      </c>
      <c r="AB108" s="31">
        <v>0.129</v>
      </c>
      <c r="BG108">
        <f t="shared" si="35"/>
        <v>0</v>
      </c>
      <c r="BH108">
        <f t="shared" si="36"/>
        <v>0</v>
      </c>
      <c r="BI108">
        <f t="shared" si="37"/>
        <v>0</v>
      </c>
      <c r="BJ108">
        <f t="shared" si="38"/>
        <v>0</v>
      </c>
      <c r="BK108">
        <f t="shared" si="39"/>
        <v>0</v>
      </c>
      <c r="BL108">
        <f t="shared" si="40"/>
        <v>0</v>
      </c>
      <c r="BM108">
        <f t="shared" si="41"/>
        <v>0</v>
      </c>
      <c r="BN108">
        <f t="shared" si="42"/>
        <v>0</v>
      </c>
      <c r="BO108">
        <f t="shared" si="43"/>
        <v>0</v>
      </c>
      <c r="BP108">
        <f t="shared" si="44"/>
        <v>0</v>
      </c>
      <c r="BQ108">
        <f t="shared" si="45"/>
        <v>0</v>
      </c>
      <c r="BR108">
        <f t="shared" si="46"/>
        <v>0</v>
      </c>
      <c r="BS108">
        <f t="shared" si="47"/>
        <v>0</v>
      </c>
      <c r="BT108">
        <f t="shared" si="48"/>
        <v>0</v>
      </c>
      <c r="BU108" t="e">
        <f t="shared" si="49"/>
        <v>#DIV/0!</v>
      </c>
      <c r="BV108" t="e">
        <f t="shared" si="50"/>
        <v>#DIV/0!</v>
      </c>
      <c r="BX108" t="e">
        <f t="shared" si="51"/>
        <v>#DIV/0!</v>
      </c>
      <c r="BZ108" s="41" t="s">
        <v>173</v>
      </c>
      <c r="CA108" s="24"/>
      <c r="CB108" s="24" t="s">
        <v>173</v>
      </c>
      <c r="CC108" s="24" t="s">
        <v>173</v>
      </c>
      <c r="CD108" s="24" t="s">
        <v>173</v>
      </c>
      <c r="CE108" s="24" t="s">
        <v>173</v>
      </c>
      <c r="CF108" s="24">
        <v>1.47E-2</v>
      </c>
      <c r="CG108" s="24">
        <v>6.6199999999999995E-2</v>
      </c>
      <c r="CH108" s="24" t="s">
        <v>173</v>
      </c>
      <c r="CI108" s="24">
        <v>0.1716</v>
      </c>
      <c r="CJ108" s="24">
        <v>0</v>
      </c>
      <c r="CK108" s="24">
        <v>0.30680000000000002</v>
      </c>
      <c r="CL108" s="24">
        <v>8.7499999999999994E-2</v>
      </c>
      <c r="CM108" s="24">
        <v>0.11899999999999999</v>
      </c>
      <c r="CN108" s="24">
        <v>0</v>
      </c>
      <c r="CO108" s="24" t="s">
        <v>173</v>
      </c>
      <c r="CP108" s="24" t="s">
        <v>173</v>
      </c>
      <c r="CQ108" s="24" t="s">
        <v>173</v>
      </c>
      <c r="CR108" s="24" t="s">
        <v>173</v>
      </c>
      <c r="CS108" s="24" t="s">
        <v>173</v>
      </c>
      <c r="CT108" s="24" t="s">
        <v>173</v>
      </c>
      <c r="CU108" s="24" t="s">
        <v>173</v>
      </c>
      <c r="CV108" s="24" t="s">
        <v>173</v>
      </c>
      <c r="CW108" s="24" t="s">
        <v>173</v>
      </c>
      <c r="CX108" s="42">
        <v>0</v>
      </c>
      <c r="CY108" s="24">
        <v>0.19139999999999999</v>
      </c>
      <c r="CZ108" s="24" t="s">
        <v>173</v>
      </c>
      <c r="DA108" s="24" t="s">
        <v>173</v>
      </c>
      <c r="DB108" s="24" t="s">
        <v>173</v>
      </c>
      <c r="DC108" s="24">
        <f t="shared" si="28"/>
        <v>0.1716</v>
      </c>
      <c r="DD108" s="24">
        <f t="shared" si="29"/>
        <v>8.09E-2</v>
      </c>
      <c r="DE108" s="24">
        <f t="shared" si="31"/>
        <v>0.42580000000000001</v>
      </c>
      <c r="DG108" s="5" t="e">
        <f t="shared" si="30"/>
        <v>#DIV/0!</v>
      </c>
    </row>
    <row r="109" spans="1:111" ht="15" thickBot="1">
      <c r="A109" s="32"/>
      <c r="B109" s="36"/>
      <c r="C109" s="29" t="s">
        <v>135</v>
      </c>
      <c r="D109" t="s">
        <v>140</v>
      </c>
      <c r="E109" s="29" t="s">
        <v>121</v>
      </c>
      <c r="F109" s="30" t="s">
        <v>123</v>
      </c>
      <c r="G109" s="31">
        <v>28.96</v>
      </c>
      <c r="H109" s="31">
        <v>15.25</v>
      </c>
      <c r="I109" s="31">
        <v>0.28199999999999997</v>
      </c>
      <c r="K109" s="31">
        <v>16.809999999999999</v>
      </c>
      <c r="L109" s="31"/>
      <c r="M109" s="31">
        <v>0.89600000000000002</v>
      </c>
      <c r="N109" s="31">
        <v>0.35399999999999998</v>
      </c>
      <c r="O109" s="31">
        <v>31.26</v>
      </c>
      <c r="Q109" s="31">
        <v>0.90500000000000003</v>
      </c>
      <c r="S109" s="31"/>
      <c r="T109" s="31"/>
      <c r="V109" s="31"/>
      <c r="W109" s="31"/>
      <c r="X109" s="31">
        <v>2.99</v>
      </c>
      <c r="AB109" s="31">
        <v>0.125</v>
      </c>
      <c r="BG109">
        <f t="shared" si="35"/>
        <v>0</v>
      </c>
      <c r="BH109">
        <f t="shared" si="36"/>
        <v>0</v>
      </c>
      <c r="BI109">
        <f t="shared" si="37"/>
        <v>0</v>
      </c>
      <c r="BJ109">
        <f t="shared" si="38"/>
        <v>0</v>
      </c>
      <c r="BK109">
        <f t="shared" si="39"/>
        <v>0</v>
      </c>
      <c r="BL109">
        <f t="shared" si="40"/>
        <v>0</v>
      </c>
      <c r="BM109">
        <f t="shared" si="41"/>
        <v>0</v>
      </c>
      <c r="BN109">
        <f t="shared" si="42"/>
        <v>0</v>
      </c>
      <c r="BO109">
        <f t="shared" si="43"/>
        <v>0</v>
      </c>
      <c r="BP109">
        <f t="shared" si="44"/>
        <v>0</v>
      </c>
      <c r="BQ109">
        <f t="shared" si="45"/>
        <v>0</v>
      </c>
      <c r="BR109">
        <f t="shared" si="46"/>
        <v>0</v>
      </c>
      <c r="BS109">
        <f t="shared" si="47"/>
        <v>0</v>
      </c>
      <c r="BT109">
        <f t="shared" si="48"/>
        <v>0</v>
      </c>
      <c r="BU109" t="e">
        <f t="shared" si="49"/>
        <v>#DIV/0!</v>
      </c>
      <c r="BV109" t="e">
        <f t="shared" si="50"/>
        <v>#DIV/0!</v>
      </c>
      <c r="BX109" t="e">
        <f t="shared" si="51"/>
        <v>#DIV/0!</v>
      </c>
      <c r="BZ109" s="41" t="s">
        <v>173</v>
      </c>
      <c r="CA109" s="24"/>
      <c r="CB109" s="24" t="s">
        <v>173</v>
      </c>
      <c r="CC109" s="24" t="s">
        <v>173</v>
      </c>
      <c r="CD109" s="24" t="s">
        <v>173</v>
      </c>
      <c r="CE109" s="24" t="s">
        <v>173</v>
      </c>
      <c r="CF109" s="24">
        <v>1.43E-2</v>
      </c>
      <c r="CG109" s="24">
        <v>4.8300000000000003E-2</v>
      </c>
      <c r="CH109" s="24" t="s">
        <v>173</v>
      </c>
      <c r="CI109" s="24">
        <v>0.19400000000000001</v>
      </c>
      <c r="CJ109" s="24">
        <v>0</v>
      </c>
      <c r="CK109" s="24">
        <v>0.27929999999999999</v>
      </c>
      <c r="CL109" s="24">
        <v>7.5300000000000006E-2</v>
      </c>
      <c r="CM109" s="24">
        <v>0.1147</v>
      </c>
      <c r="CN109" s="24">
        <v>0</v>
      </c>
      <c r="CO109" s="24" t="s">
        <v>173</v>
      </c>
      <c r="CP109" s="24" t="s">
        <v>173</v>
      </c>
      <c r="CQ109" s="24" t="s">
        <v>173</v>
      </c>
      <c r="CR109" s="24" t="s">
        <v>173</v>
      </c>
      <c r="CS109" s="24" t="s">
        <v>173</v>
      </c>
      <c r="CT109" s="24" t="s">
        <v>173</v>
      </c>
      <c r="CU109" s="24" t="s">
        <v>173</v>
      </c>
      <c r="CV109" s="24" t="s">
        <v>173</v>
      </c>
      <c r="CW109" s="24" t="s">
        <v>173</v>
      </c>
      <c r="CX109" s="42">
        <v>0</v>
      </c>
      <c r="CY109" s="24">
        <v>0.22159999999999999</v>
      </c>
      <c r="CZ109" s="24" t="s">
        <v>173</v>
      </c>
      <c r="DA109" s="24" t="s">
        <v>173</v>
      </c>
      <c r="DB109" s="24" t="s">
        <v>173</v>
      </c>
      <c r="DC109" s="24">
        <f t="shared" si="28"/>
        <v>0.19400000000000001</v>
      </c>
      <c r="DD109" s="24">
        <f t="shared" si="29"/>
        <v>6.2600000000000003E-2</v>
      </c>
      <c r="DE109" s="24">
        <f t="shared" si="31"/>
        <v>0.39400000000000002</v>
      </c>
      <c r="DG109" s="5" t="e">
        <f t="shared" si="30"/>
        <v>#DIV/0!</v>
      </c>
    </row>
    <row r="110" spans="1:111">
      <c r="A110" s="47"/>
      <c r="B110" s="47"/>
      <c r="C110" s="47"/>
      <c r="D110" s="47"/>
      <c r="G110" s="53"/>
      <c r="H110" s="53"/>
      <c r="I110" s="53"/>
      <c r="K110" s="53"/>
      <c r="L110" s="53"/>
      <c r="M110" s="53"/>
      <c r="N110" s="53"/>
      <c r="O110" s="53"/>
      <c r="Q110" s="53"/>
      <c r="T110" s="52"/>
      <c r="X110" s="51"/>
      <c r="AB110" s="52"/>
      <c r="CJ110" s="24">
        <v>0</v>
      </c>
      <c r="CK110" s="24">
        <v>0</v>
      </c>
      <c r="CL110" s="24">
        <v>0</v>
      </c>
      <c r="CM110" s="24">
        <v>0</v>
      </c>
      <c r="CN110" s="24">
        <v>0</v>
      </c>
      <c r="CX110">
        <v>0</v>
      </c>
      <c r="DC110" s="24">
        <f t="shared" si="28"/>
        <v>0</v>
      </c>
      <c r="DD110" s="24">
        <f t="shared" si="29"/>
        <v>0</v>
      </c>
      <c r="DE110" s="24">
        <f t="shared" si="31"/>
        <v>0</v>
      </c>
      <c r="DG110" s="5" t="e">
        <f t="shared" si="30"/>
        <v>#DIV/0!</v>
      </c>
    </row>
    <row r="111" spans="1:111">
      <c r="A111" s="48"/>
      <c r="B111" s="48"/>
      <c r="C111" s="48" t="s">
        <v>398</v>
      </c>
      <c r="D111" s="48"/>
      <c r="G111" s="53"/>
      <c r="H111" s="53"/>
      <c r="I111" s="53"/>
      <c r="K111" s="53"/>
      <c r="L111" s="53"/>
      <c r="M111" s="53"/>
      <c r="N111" s="53"/>
      <c r="O111" s="53"/>
      <c r="Q111" s="53"/>
      <c r="T111" s="47"/>
      <c r="X111" s="51"/>
      <c r="AB111" s="47"/>
      <c r="BG111">
        <f t="shared" si="35"/>
        <v>0</v>
      </c>
      <c r="BH111">
        <f t="shared" si="36"/>
        <v>0</v>
      </c>
      <c r="BI111">
        <f t="shared" si="37"/>
        <v>0</v>
      </c>
      <c r="BJ111">
        <f t="shared" si="38"/>
        <v>0</v>
      </c>
      <c r="BK111">
        <f t="shared" si="39"/>
        <v>0</v>
      </c>
      <c r="BL111">
        <f t="shared" si="40"/>
        <v>0</v>
      </c>
      <c r="BM111">
        <f t="shared" si="41"/>
        <v>0</v>
      </c>
      <c r="BN111">
        <f t="shared" si="42"/>
        <v>0</v>
      </c>
      <c r="BO111">
        <f t="shared" si="43"/>
        <v>0</v>
      </c>
      <c r="BP111">
        <f t="shared" si="44"/>
        <v>0</v>
      </c>
      <c r="BQ111">
        <f t="shared" si="45"/>
        <v>0</v>
      </c>
      <c r="BR111">
        <f t="shared" si="46"/>
        <v>0</v>
      </c>
      <c r="BS111">
        <f t="shared" si="47"/>
        <v>0</v>
      </c>
      <c r="BT111">
        <f t="shared" si="48"/>
        <v>0</v>
      </c>
      <c r="BU111" t="e">
        <f t="shared" si="49"/>
        <v>#DIV/0!</v>
      </c>
      <c r="BV111" t="e">
        <f t="shared" si="50"/>
        <v>#DIV/0!</v>
      </c>
      <c r="BX111" t="e">
        <f t="shared" si="51"/>
        <v>#DIV/0!</v>
      </c>
      <c r="CJ111" s="24">
        <v>0</v>
      </c>
      <c r="CK111" s="24">
        <v>0</v>
      </c>
      <c r="CL111" s="24">
        <v>0</v>
      </c>
      <c r="CM111" s="24">
        <v>0</v>
      </c>
      <c r="CN111" s="24">
        <v>0</v>
      </c>
      <c r="CX111">
        <v>0</v>
      </c>
      <c r="DC111" s="24">
        <f t="shared" si="28"/>
        <v>0</v>
      </c>
      <c r="DD111" s="24">
        <f t="shared" si="29"/>
        <v>0</v>
      </c>
      <c r="DE111" s="24">
        <f t="shared" si="31"/>
        <v>0</v>
      </c>
      <c r="DG111" s="5" t="e">
        <f t="shared" si="30"/>
        <v>#DIV/0!</v>
      </c>
    </row>
    <row r="112" spans="1:111">
      <c r="A112" s="54">
        <v>459144</v>
      </c>
      <c r="B112" s="52" t="s">
        <v>298</v>
      </c>
      <c r="C112" s="52" t="s">
        <v>299</v>
      </c>
      <c r="D112" t="s">
        <v>300</v>
      </c>
      <c r="F112" s="52" t="s">
        <v>122</v>
      </c>
      <c r="G112" s="52">
        <v>25</v>
      </c>
      <c r="H112" s="52">
        <v>10.8</v>
      </c>
      <c r="I112" s="52">
        <v>1.0840000000000001</v>
      </c>
      <c r="K112" s="52">
        <v>13.88</v>
      </c>
      <c r="L112" s="52"/>
      <c r="M112" s="52">
        <v>2.95</v>
      </c>
      <c r="N112" s="52">
        <v>0.17</v>
      </c>
      <c r="O112" s="52">
        <v>30.36</v>
      </c>
      <c r="Q112" s="52">
        <v>0.317</v>
      </c>
      <c r="T112" s="50"/>
      <c r="X112" s="53">
        <v>15.59</v>
      </c>
      <c r="AB112" s="52">
        <v>0.33</v>
      </c>
      <c r="BG112">
        <f t="shared" si="35"/>
        <v>0</v>
      </c>
      <c r="BH112">
        <f t="shared" si="36"/>
        <v>0</v>
      </c>
      <c r="BI112">
        <f t="shared" si="37"/>
        <v>0</v>
      </c>
      <c r="BJ112">
        <f t="shared" si="38"/>
        <v>0</v>
      </c>
      <c r="BK112">
        <f t="shared" si="39"/>
        <v>0</v>
      </c>
      <c r="BL112">
        <f t="shared" si="40"/>
        <v>0</v>
      </c>
      <c r="BM112">
        <f t="shared" si="41"/>
        <v>0</v>
      </c>
      <c r="BN112">
        <f t="shared" si="42"/>
        <v>0</v>
      </c>
      <c r="BO112">
        <f t="shared" si="43"/>
        <v>0</v>
      </c>
      <c r="BP112">
        <f t="shared" si="44"/>
        <v>0</v>
      </c>
      <c r="BQ112">
        <f t="shared" si="45"/>
        <v>0</v>
      </c>
      <c r="BR112">
        <f t="shared" si="46"/>
        <v>0</v>
      </c>
      <c r="BS112">
        <f t="shared" si="47"/>
        <v>0</v>
      </c>
      <c r="BT112">
        <f t="shared" si="48"/>
        <v>0</v>
      </c>
      <c r="BU112" t="e">
        <f t="shared" si="49"/>
        <v>#DIV/0!</v>
      </c>
      <c r="BV112" t="e">
        <f t="shared" si="50"/>
        <v>#DIV/0!</v>
      </c>
      <c r="BX112" t="e">
        <f t="shared" si="51"/>
        <v>#DIV/0!</v>
      </c>
      <c r="BZ112" t="s">
        <v>173</v>
      </c>
      <c r="CA112" t="s">
        <v>173</v>
      </c>
      <c r="CB112" t="s">
        <v>173</v>
      </c>
      <c r="CC112" t="s">
        <v>173</v>
      </c>
      <c r="CD112" t="s">
        <v>173</v>
      </c>
      <c r="CE112" t="s">
        <v>173</v>
      </c>
      <c r="CF112">
        <v>5.6000000000000001E-2</v>
      </c>
      <c r="CG112">
        <v>0.27710000000000001</v>
      </c>
      <c r="CH112" t="s">
        <v>173</v>
      </c>
      <c r="CI112">
        <v>7.1599999999999997E-2</v>
      </c>
      <c r="CJ112" s="24">
        <v>0</v>
      </c>
      <c r="CK112">
        <v>0.21260000000000001</v>
      </c>
      <c r="CL112">
        <v>2.69E-2</v>
      </c>
      <c r="CM112">
        <v>0.30220000000000002</v>
      </c>
      <c r="CN112" s="24">
        <v>0</v>
      </c>
      <c r="CO112" t="s">
        <v>173</v>
      </c>
      <c r="CP112" t="s">
        <v>173</v>
      </c>
      <c r="CQ112" t="s">
        <v>173</v>
      </c>
      <c r="CR112" t="s">
        <v>173</v>
      </c>
      <c r="CS112" t="s">
        <v>173</v>
      </c>
      <c r="CT112" t="s">
        <v>173</v>
      </c>
      <c r="CU112" t="s">
        <v>173</v>
      </c>
      <c r="CV112" t="s">
        <v>173</v>
      </c>
      <c r="CW112" t="s">
        <v>173</v>
      </c>
      <c r="CX112">
        <v>0</v>
      </c>
      <c r="CY112">
        <v>2.1600000000000001E-2</v>
      </c>
      <c r="CZ112">
        <v>4.1999999999999997E-3</v>
      </c>
      <c r="DA112" t="s">
        <v>173</v>
      </c>
      <c r="DB112">
        <v>2.7699999999999999E-2</v>
      </c>
      <c r="DC112" s="24">
        <f t="shared" si="28"/>
        <v>7.1599999999999997E-2</v>
      </c>
      <c r="DD112" s="24">
        <f t="shared" si="29"/>
        <v>0.33310000000000001</v>
      </c>
      <c r="DE112" s="24">
        <f t="shared" si="31"/>
        <v>0.51480000000000004</v>
      </c>
      <c r="DG112" s="5" t="e">
        <f t="shared" si="30"/>
        <v>#DIV/0!</v>
      </c>
    </row>
    <row r="113" spans="1:111">
      <c r="A113" s="54">
        <v>459144</v>
      </c>
      <c r="B113" s="52" t="s">
        <v>298</v>
      </c>
      <c r="C113" s="52" t="s">
        <v>299</v>
      </c>
      <c r="D113" t="s">
        <v>300</v>
      </c>
      <c r="F113" s="52" t="s">
        <v>122</v>
      </c>
      <c r="G113" s="52">
        <v>24.16</v>
      </c>
      <c r="H113" s="52">
        <v>10.58</v>
      </c>
      <c r="I113" s="52">
        <v>1.4279999999999999</v>
      </c>
      <c r="K113" s="52">
        <v>13.51</v>
      </c>
      <c r="L113" s="52"/>
      <c r="M113" s="52">
        <v>2.85</v>
      </c>
      <c r="N113" s="52">
        <v>0.13700000000000001</v>
      </c>
      <c r="O113" s="52">
        <v>30.5</v>
      </c>
      <c r="Q113" s="52">
        <v>0.22900000000000001</v>
      </c>
      <c r="T113" s="50"/>
      <c r="X113" s="52">
        <v>16.989999999999998</v>
      </c>
      <c r="AB113" s="52">
        <v>0.30399999999999999</v>
      </c>
      <c r="BG113">
        <f t="shared" si="35"/>
        <v>0</v>
      </c>
      <c r="BH113">
        <f t="shared" si="36"/>
        <v>0</v>
      </c>
      <c r="BI113">
        <f t="shared" si="37"/>
        <v>0</v>
      </c>
      <c r="BJ113">
        <f t="shared" si="38"/>
        <v>0</v>
      </c>
      <c r="BK113">
        <f t="shared" si="39"/>
        <v>0</v>
      </c>
      <c r="BL113">
        <f t="shared" si="40"/>
        <v>0</v>
      </c>
      <c r="BM113">
        <f t="shared" si="41"/>
        <v>0</v>
      </c>
      <c r="BN113">
        <f t="shared" si="42"/>
        <v>0</v>
      </c>
      <c r="BO113">
        <f t="shared" si="43"/>
        <v>0</v>
      </c>
      <c r="BP113">
        <f t="shared" si="44"/>
        <v>0</v>
      </c>
      <c r="BQ113">
        <f t="shared" si="45"/>
        <v>0</v>
      </c>
      <c r="BR113">
        <f t="shared" si="46"/>
        <v>0</v>
      </c>
      <c r="BS113">
        <f t="shared" si="47"/>
        <v>0</v>
      </c>
      <c r="BT113">
        <f t="shared" si="48"/>
        <v>0</v>
      </c>
      <c r="BU113" t="e">
        <f t="shared" si="49"/>
        <v>#DIV/0!</v>
      </c>
      <c r="BV113" t="e">
        <f t="shared" si="50"/>
        <v>#DIV/0!</v>
      </c>
      <c r="BX113" t="e">
        <f t="shared" si="51"/>
        <v>#DIV/0!</v>
      </c>
      <c r="BZ113" t="s">
        <v>173</v>
      </c>
      <c r="CA113" t="s">
        <v>173</v>
      </c>
      <c r="CB113" t="s">
        <v>173</v>
      </c>
      <c r="CC113" t="s">
        <v>173</v>
      </c>
      <c r="CD113" t="s">
        <v>173</v>
      </c>
      <c r="CE113" t="s">
        <v>173</v>
      </c>
      <c r="CF113">
        <v>7.4099999999999999E-2</v>
      </c>
      <c r="CG113">
        <v>0.29060000000000002</v>
      </c>
      <c r="CH113" t="s">
        <v>173</v>
      </c>
      <c r="CI113">
        <v>7.1900000000000006E-2</v>
      </c>
      <c r="CJ113" s="24">
        <v>0</v>
      </c>
      <c r="CK113">
        <v>0.21759999999999999</v>
      </c>
      <c r="CL113">
        <v>1.95E-2</v>
      </c>
      <c r="CM113">
        <v>0.29830000000000001</v>
      </c>
      <c r="CN113" s="24">
        <v>0</v>
      </c>
      <c r="CO113" t="s">
        <v>173</v>
      </c>
      <c r="CP113" t="s">
        <v>173</v>
      </c>
      <c r="CQ113" t="s">
        <v>173</v>
      </c>
      <c r="CR113" t="s">
        <v>173</v>
      </c>
      <c r="CS113" t="s">
        <v>173</v>
      </c>
      <c r="CT113" t="s">
        <v>173</v>
      </c>
      <c r="CU113" t="s">
        <v>173</v>
      </c>
      <c r="CV113" t="s">
        <v>173</v>
      </c>
      <c r="CW113" t="s">
        <v>173</v>
      </c>
      <c r="CX113">
        <v>0</v>
      </c>
      <c r="CY113">
        <v>0</v>
      </c>
      <c r="CZ113">
        <v>3.3999999999999998E-3</v>
      </c>
      <c r="DA113" t="s">
        <v>173</v>
      </c>
      <c r="DB113">
        <v>2.2700000000000001E-2</v>
      </c>
      <c r="DC113" s="24">
        <f t="shared" si="28"/>
        <v>7.1900000000000006E-2</v>
      </c>
      <c r="DD113" s="24">
        <f t="shared" si="29"/>
        <v>0.36470000000000002</v>
      </c>
      <c r="DE113" s="24">
        <f t="shared" si="31"/>
        <v>0.51590000000000003</v>
      </c>
      <c r="DG113" s="5" t="e">
        <f t="shared" si="30"/>
        <v>#DIV/0!</v>
      </c>
    </row>
    <row r="114" spans="1:111">
      <c r="A114" s="54">
        <v>459144</v>
      </c>
      <c r="B114" s="52" t="s">
        <v>298</v>
      </c>
      <c r="C114" s="52" t="s">
        <v>299</v>
      </c>
      <c r="D114" t="s">
        <v>300</v>
      </c>
      <c r="F114" s="52" t="s">
        <v>123</v>
      </c>
      <c r="G114" s="52">
        <v>24.08</v>
      </c>
      <c r="H114" s="52">
        <v>10.46</v>
      </c>
      <c r="I114" s="52">
        <v>1.5760000000000001</v>
      </c>
      <c r="K114" s="52">
        <v>13.62</v>
      </c>
      <c r="L114" s="52"/>
      <c r="M114" s="52">
        <v>2.83</v>
      </c>
      <c r="N114" s="52">
        <v>0.14099999999999999</v>
      </c>
      <c r="O114" s="52">
        <v>30.56</v>
      </c>
      <c r="Q114" s="52">
        <v>0.16700000000000001</v>
      </c>
      <c r="T114" s="50"/>
      <c r="X114" s="52">
        <v>16.899999999999999</v>
      </c>
      <c r="AB114" s="52">
        <v>0.27400000000000002</v>
      </c>
      <c r="BG114">
        <f t="shared" si="35"/>
        <v>0</v>
      </c>
      <c r="BH114">
        <f t="shared" si="36"/>
        <v>0</v>
      </c>
      <c r="BI114">
        <f t="shared" si="37"/>
        <v>0</v>
      </c>
      <c r="BJ114">
        <f t="shared" si="38"/>
        <v>0</v>
      </c>
      <c r="BK114">
        <f t="shared" si="39"/>
        <v>0</v>
      </c>
      <c r="BL114">
        <f t="shared" si="40"/>
        <v>0</v>
      </c>
      <c r="BM114">
        <f t="shared" si="41"/>
        <v>0</v>
      </c>
      <c r="BN114">
        <f t="shared" si="42"/>
        <v>0</v>
      </c>
      <c r="BO114">
        <f t="shared" si="43"/>
        <v>0</v>
      </c>
      <c r="BP114">
        <f t="shared" si="44"/>
        <v>0</v>
      </c>
      <c r="BQ114">
        <f t="shared" si="45"/>
        <v>0</v>
      </c>
      <c r="BR114">
        <f t="shared" si="46"/>
        <v>0</v>
      </c>
      <c r="BS114">
        <f t="shared" si="47"/>
        <v>0</v>
      </c>
      <c r="BT114">
        <f t="shared" si="48"/>
        <v>0</v>
      </c>
      <c r="BU114" t="e">
        <f t="shared" si="49"/>
        <v>#DIV/0!</v>
      </c>
      <c r="BV114" t="e">
        <f t="shared" si="50"/>
        <v>#DIV/0!</v>
      </c>
      <c r="BX114" t="e">
        <f t="shared" si="51"/>
        <v>#DIV/0!</v>
      </c>
      <c r="BZ114" t="s">
        <v>173</v>
      </c>
      <c r="CA114" t="s">
        <v>173</v>
      </c>
      <c r="CB114" t="s">
        <v>173</v>
      </c>
      <c r="CC114" t="s">
        <v>173</v>
      </c>
      <c r="CD114" t="s">
        <v>173</v>
      </c>
      <c r="CE114" t="s">
        <v>173</v>
      </c>
      <c r="CF114">
        <v>8.1799999999999998E-2</v>
      </c>
      <c r="CG114">
        <v>0.28110000000000002</v>
      </c>
      <c r="CH114" t="s">
        <v>173</v>
      </c>
      <c r="CI114">
        <v>7.6899999999999996E-2</v>
      </c>
      <c r="CJ114" s="24">
        <v>0</v>
      </c>
      <c r="CK114">
        <v>0.2167</v>
      </c>
      <c r="CL114">
        <v>1.43E-2</v>
      </c>
      <c r="CM114">
        <v>0.29409999999999997</v>
      </c>
      <c r="CN114" s="24">
        <v>0</v>
      </c>
      <c r="CO114" t="s">
        <v>173</v>
      </c>
      <c r="CP114" t="s">
        <v>173</v>
      </c>
      <c r="CQ114" t="s">
        <v>173</v>
      </c>
      <c r="CR114" t="s">
        <v>173</v>
      </c>
      <c r="CS114" t="s">
        <v>173</v>
      </c>
      <c r="CT114" t="s">
        <v>173</v>
      </c>
      <c r="CU114" t="s">
        <v>173</v>
      </c>
      <c r="CV114" t="s">
        <v>173</v>
      </c>
      <c r="CW114" t="s">
        <v>173</v>
      </c>
      <c r="CX114">
        <v>0</v>
      </c>
      <c r="CY114">
        <v>6.0000000000000001E-3</v>
      </c>
      <c r="CZ114">
        <v>3.5000000000000001E-3</v>
      </c>
      <c r="DA114" t="s">
        <v>173</v>
      </c>
      <c r="DB114">
        <v>2.58E-2</v>
      </c>
      <c r="DC114" s="24">
        <f t="shared" si="28"/>
        <v>7.6899999999999996E-2</v>
      </c>
      <c r="DD114" s="24">
        <f t="shared" si="29"/>
        <v>0.3629</v>
      </c>
      <c r="DE114" s="24">
        <f t="shared" si="31"/>
        <v>0.51079999999999992</v>
      </c>
      <c r="DG114" s="5" t="e">
        <f t="shared" si="30"/>
        <v>#DIV/0!</v>
      </c>
    </row>
    <row r="115" spans="1:111">
      <c r="A115" s="54">
        <v>459144</v>
      </c>
      <c r="B115" s="52" t="s">
        <v>298</v>
      </c>
      <c r="C115" s="52" t="s">
        <v>299</v>
      </c>
      <c r="D115" t="s">
        <v>300</v>
      </c>
      <c r="F115" s="52" t="s">
        <v>123</v>
      </c>
      <c r="G115" s="52">
        <v>24.01</v>
      </c>
      <c r="H115" s="52">
        <v>11.24</v>
      </c>
      <c r="I115" s="52">
        <v>1.1339999999999999</v>
      </c>
      <c r="K115" s="52">
        <v>14.1</v>
      </c>
      <c r="L115" s="52"/>
      <c r="M115" s="52">
        <v>2.72</v>
      </c>
      <c r="N115" s="52">
        <v>0.19400000000000001</v>
      </c>
      <c r="O115" s="52">
        <v>30.48</v>
      </c>
      <c r="Q115" s="52">
        <v>0.23599999999999999</v>
      </c>
      <c r="T115" s="50"/>
      <c r="X115" s="52">
        <v>16.010000000000002</v>
      </c>
      <c r="AB115" s="52">
        <v>0.316</v>
      </c>
      <c r="BG115">
        <f t="shared" si="35"/>
        <v>0</v>
      </c>
      <c r="BH115">
        <f t="shared" si="36"/>
        <v>0</v>
      </c>
      <c r="BI115">
        <f t="shared" si="37"/>
        <v>0</v>
      </c>
      <c r="BJ115">
        <f t="shared" si="38"/>
        <v>0</v>
      </c>
      <c r="BK115">
        <f t="shared" si="39"/>
        <v>0</v>
      </c>
      <c r="BL115">
        <f t="shared" si="40"/>
        <v>0</v>
      </c>
      <c r="BM115">
        <f t="shared" si="41"/>
        <v>0</v>
      </c>
      <c r="BN115">
        <f t="shared" si="42"/>
        <v>0</v>
      </c>
      <c r="BO115">
        <f t="shared" si="43"/>
        <v>0</v>
      </c>
      <c r="BP115">
        <f t="shared" si="44"/>
        <v>0</v>
      </c>
      <c r="BQ115">
        <f t="shared" si="45"/>
        <v>0</v>
      </c>
      <c r="BR115">
        <f t="shared" si="46"/>
        <v>0</v>
      </c>
      <c r="BS115">
        <f t="shared" si="47"/>
        <v>0</v>
      </c>
      <c r="BT115">
        <f t="shared" si="48"/>
        <v>0</v>
      </c>
      <c r="BU115" t="e">
        <f t="shared" si="49"/>
        <v>#DIV/0!</v>
      </c>
      <c r="BV115" t="e">
        <f t="shared" si="50"/>
        <v>#DIV/0!</v>
      </c>
      <c r="BX115" t="e">
        <f t="shared" si="51"/>
        <v>#DIV/0!</v>
      </c>
      <c r="BZ115" t="s">
        <v>173</v>
      </c>
      <c r="CA115" t="s">
        <v>173</v>
      </c>
      <c r="CB115" t="s">
        <v>173</v>
      </c>
      <c r="CC115" t="s">
        <v>173</v>
      </c>
      <c r="CD115" t="s">
        <v>173</v>
      </c>
      <c r="CE115" t="s">
        <v>173</v>
      </c>
      <c r="CF115">
        <v>5.8900000000000001E-2</v>
      </c>
      <c r="CG115">
        <v>0.28520000000000001</v>
      </c>
      <c r="CH115" t="s">
        <v>173</v>
      </c>
      <c r="CI115">
        <v>9.74E-2</v>
      </c>
      <c r="CJ115" s="24">
        <v>0</v>
      </c>
      <c r="CK115">
        <v>0.21870000000000001</v>
      </c>
      <c r="CL115">
        <v>2.0199999999999999E-2</v>
      </c>
      <c r="CM115">
        <v>0.29170000000000001</v>
      </c>
      <c r="CN115" s="24">
        <v>0</v>
      </c>
      <c r="CO115" t="s">
        <v>173</v>
      </c>
      <c r="CP115" t="s">
        <v>173</v>
      </c>
      <c r="CQ115" t="s">
        <v>173</v>
      </c>
      <c r="CR115" t="s">
        <v>173</v>
      </c>
      <c r="CS115" t="s">
        <v>173</v>
      </c>
      <c r="CT115" t="s">
        <v>173</v>
      </c>
      <c r="CU115" t="s">
        <v>173</v>
      </c>
      <c r="CV115" t="s">
        <v>173</v>
      </c>
      <c r="CW115" t="s">
        <v>173</v>
      </c>
      <c r="CX115">
        <v>0</v>
      </c>
      <c r="CY115">
        <v>1.1000000000000001E-3</v>
      </c>
      <c r="CZ115">
        <v>4.7999999999999996E-3</v>
      </c>
      <c r="DA115" t="s">
        <v>173</v>
      </c>
      <c r="DB115">
        <v>2.1899999999999999E-2</v>
      </c>
      <c r="DC115" s="24">
        <f t="shared" si="28"/>
        <v>9.74E-2</v>
      </c>
      <c r="DD115" s="24">
        <f t="shared" si="29"/>
        <v>0.34410000000000002</v>
      </c>
      <c r="DE115" s="24">
        <f t="shared" si="31"/>
        <v>0.51039999999999996</v>
      </c>
      <c r="DG115" s="5" t="e">
        <f t="shared" si="30"/>
        <v>#DIV/0!</v>
      </c>
    </row>
    <row r="116" spans="1:111">
      <c r="A116" s="54">
        <v>459144</v>
      </c>
      <c r="B116" s="52" t="s">
        <v>298</v>
      </c>
      <c r="C116" s="52" t="s">
        <v>299</v>
      </c>
      <c r="D116" t="s">
        <v>300</v>
      </c>
      <c r="F116" s="52" t="s">
        <v>123</v>
      </c>
      <c r="G116" s="52">
        <v>24.63</v>
      </c>
      <c r="H116" s="52">
        <v>10.84</v>
      </c>
      <c r="I116" s="52">
        <v>1.042</v>
      </c>
      <c r="K116" s="52">
        <v>13.87</v>
      </c>
      <c r="L116" s="52"/>
      <c r="M116" s="52">
        <v>2.92</v>
      </c>
      <c r="N116" s="52">
        <v>0.192</v>
      </c>
      <c r="O116" s="52">
        <v>30.47</v>
      </c>
      <c r="Q116" s="52">
        <v>0.316</v>
      </c>
      <c r="T116" s="50"/>
      <c r="X116" s="52">
        <v>16.010000000000002</v>
      </c>
      <c r="AB116" s="52">
        <v>0.34599999999999997</v>
      </c>
      <c r="BG116">
        <f t="shared" si="35"/>
        <v>0</v>
      </c>
      <c r="BH116">
        <f t="shared" si="36"/>
        <v>0</v>
      </c>
      <c r="BI116">
        <f t="shared" si="37"/>
        <v>0</v>
      </c>
      <c r="BJ116">
        <f t="shared" si="38"/>
        <v>0</v>
      </c>
      <c r="BK116">
        <f t="shared" si="39"/>
        <v>0</v>
      </c>
      <c r="BL116">
        <f t="shared" si="40"/>
        <v>0</v>
      </c>
      <c r="BM116">
        <f t="shared" si="41"/>
        <v>0</v>
      </c>
      <c r="BN116">
        <f t="shared" si="42"/>
        <v>0</v>
      </c>
      <c r="BO116">
        <f t="shared" si="43"/>
        <v>0</v>
      </c>
      <c r="BP116">
        <f t="shared" si="44"/>
        <v>0</v>
      </c>
      <c r="BQ116">
        <f t="shared" si="45"/>
        <v>0</v>
      </c>
      <c r="BR116">
        <f t="shared" si="46"/>
        <v>0</v>
      </c>
      <c r="BS116">
        <f t="shared" si="47"/>
        <v>0</v>
      </c>
      <c r="BT116">
        <f t="shared" si="48"/>
        <v>0</v>
      </c>
      <c r="BU116" t="e">
        <f t="shared" si="49"/>
        <v>#DIV/0!</v>
      </c>
      <c r="BV116" t="e">
        <f t="shared" si="50"/>
        <v>#DIV/0!</v>
      </c>
      <c r="BX116" t="e">
        <f t="shared" si="51"/>
        <v>#DIV/0!</v>
      </c>
      <c r="BZ116" t="s">
        <v>173</v>
      </c>
      <c r="CA116" t="s">
        <v>173</v>
      </c>
      <c r="CB116" t="s">
        <v>173</v>
      </c>
      <c r="CC116" t="s">
        <v>173</v>
      </c>
      <c r="CD116" t="s">
        <v>173</v>
      </c>
      <c r="CE116" t="s">
        <v>173</v>
      </c>
      <c r="CF116">
        <v>5.3900000000000003E-2</v>
      </c>
      <c r="CG116">
        <v>0.28849999999999998</v>
      </c>
      <c r="CH116" t="s">
        <v>173</v>
      </c>
      <c r="CI116">
        <v>7.7299999999999994E-2</v>
      </c>
      <c r="CJ116" s="24">
        <v>0</v>
      </c>
      <c r="CK116">
        <v>0.1933</v>
      </c>
      <c r="CL116">
        <v>2.69E-2</v>
      </c>
      <c r="CM116">
        <v>0.31380000000000002</v>
      </c>
      <c r="CN116" s="24">
        <v>0</v>
      </c>
      <c r="CO116" t="s">
        <v>173</v>
      </c>
      <c r="CP116" t="s">
        <v>173</v>
      </c>
      <c r="CQ116" t="s">
        <v>173</v>
      </c>
      <c r="CR116" t="s">
        <v>173</v>
      </c>
      <c r="CS116" t="s">
        <v>173</v>
      </c>
      <c r="CT116" t="s">
        <v>173</v>
      </c>
      <c r="CU116" t="s">
        <v>173</v>
      </c>
      <c r="CV116" t="s">
        <v>173</v>
      </c>
      <c r="CW116" t="s">
        <v>173</v>
      </c>
      <c r="CX116">
        <v>0</v>
      </c>
      <c r="CY116">
        <v>1.89E-2</v>
      </c>
      <c r="CZ116">
        <v>4.7999999999999996E-3</v>
      </c>
      <c r="DA116" t="s">
        <v>173</v>
      </c>
      <c r="DB116">
        <v>2.2700000000000001E-2</v>
      </c>
      <c r="DC116" s="24">
        <f t="shared" si="28"/>
        <v>7.7299999999999994E-2</v>
      </c>
      <c r="DD116" s="24">
        <f t="shared" si="29"/>
        <v>0.34239999999999998</v>
      </c>
      <c r="DE116" s="24">
        <f t="shared" si="31"/>
        <v>0.5071</v>
      </c>
      <c r="DG116" s="5" t="e">
        <f t="shared" si="30"/>
        <v>#DIV/0!</v>
      </c>
    </row>
    <row r="117" spans="1:111">
      <c r="A117" s="48"/>
      <c r="B117" s="48"/>
      <c r="C117" s="48"/>
      <c r="D117" t="s">
        <v>300</v>
      </c>
      <c r="F117" s="48"/>
      <c r="G117" s="50"/>
      <c r="H117" s="50"/>
      <c r="I117" s="50"/>
      <c r="K117" s="50"/>
      <c r="L117" s="50"/>
      <c r="M117" s="50"/>
      <c r="N117" s="50"/>
      <c r="O117" s="50"/>
      <c r="Q117" s="50"/>
      <c r="T117" s="50"/>
      <c r="X117" s="50"/>
      <c r="AB117" s="50"/>
      <c r="BG117">
        <f t="shared" si="35"/>
        <v>0</v>
      </c>
      <c r="BH117">
        <f t="shared" si="36"/>
        <v>0</v>
      </c>
      <c r="BI117">
        <f t="shared" si="37"/>
        <v>0</v>
      </c>
      <c r="BJ117">
        <f t="shared" si="38"/>
        <v>0</v>
      </c>
      <c r="BK117">
        <f t="shared" si="39"/>
        <v>0</v>
      </c>
      <c r="BL117">
        <f t="shared" si="40"/>
        <v>0</v>
      </c>
      <c r="BM117">
        <f t="shared" si="41"/>
        <v>0</v>
      </c>
      <c r="BN117">
        <f t="shared" si="42"/>
        <v>0</v>
      </c>
      <c r="BO117">
        <f t="shared" si="43"/>
        <v>0</v>
      </c>
      <c r="BP117">
        <f t="shared" si="44"/>
        <v>0</v>
      </c>
      <c r="BQ117">
        <f t="shared" si="45"/>
        <v>0</v>
      </c>
      <c r="BR117">
        <f t="shared" si="46"/>
        <v>0</v>
      </c>
      <c r="BS117">
        <f t="shared" si="47"/>
        <v>0</v>
      </c>
      <c r="BT117">
        <f t="shared" si="48"/>
        <v>0</v>
      </c>
      <c r="BU117" t="e">
        <f t="shared" si="49"/>
        <v>#DIV/0!</v>
      </c>
      <c r="BV117" t="e">
        <f t="shared" si="50"/>
        <v>#DIV/0!</v>
      </c>
      <c r="BX117" t="e">
        <f t="shared" si="51"/>
        <v>#DIV/0!</v>
      </c>
      <c r="BZ117" t="e">
        <v>#DIV/0!</v>
      </c>
      <c r="CA117" t="e">
        <v>#DIV/0!</v>
      </c>
      <c r="CB117" t="e">
        <v>#DIV/0!</v>
      </c>
      <c r="CC117" t="e">
        <v>#DIV/0!</v>
      </c>
      <c r="CD117" t="e">
        <v>#DIV/0!</v>
      </c>
      <c r="CE117" t="e">
        <v>#DIV/0!</v>
      </c>
      <c r="CF117" t="e">
        <v>#DIV/0!</v>
      </c>
      <c r="CG117" t="e">
        <v>#DIV/0!</v>
      </c>
      <c r="CH117" t="e">
        <v>#DIV/0!</v>
      </c>
      <c r="CI117" t="e">
        <v>#DIV/0!</v>
      </c>
      <c r="CJ117" s="24">
        <v>0</v>
      </c>
      <c r="CK117" t="e">
        <v>#DIV/0!</v>
      </c>
      <c r="CL117" t="e">
        <v>#DIV/0!</v>
      </c>
      <c r="CM117" t="e">
        <v>#DIV/0!</v>
      </c>
      <c r="CN117" t="e">
        <v>#DIV/0!</v>
      </c>
      <c r="CO117" t="e">
        <v>#DIV/0!</v>
      </c>
      <c r="CP117" t="e">
        <v>#DIV/0!</v>
      </c>
      <c r="CQ117" t="e">
        <v>#DIV/0!</v>
      </c>
      <c r="CR117" t="e">
        <v>#DIV/0!</v>
      </c>
      <c r="CS117" t="e">
        <v>#DIV/0!</v>
      </c>
      <c r="CT117" t="e">
        <v>#DIV/0!</v>
      </c>
      <c r="CU117" t="e">
        <v>#DIV/0!</v>
      </c>
      <c r="CV117" t="e">
        <v>#DIV/0!</v>
      </c>
      <c r="CW117" t="e">
        <v>#DIV/0!</v>
      </c>
      <c r="CX117">
        <v>0</v>
      </c>
      <c r="CY117" t="e">
        <v>#DIV/0!</v>
      </c>
      <c r="CZ117" t="e">
        <v>#DIV/0!</v>
      </c>
      <c r="DA117" t="e">
        <v>#DIV/0!</v>
      </c>
      <c r="DB117" t="e">
        <v>#DIV/0!</v>
      </c>
      <c r="DC117" s="24" t="e">
        <f t="shared" si="28"/>
        <v>#DIV/0!</v>
      </c>
      <c r="DD117" s="24" t="e">
        <f t="shared" si="29"/>
        <v>#DIV/0!</v>
      </c>
      <c r="DE117" s="24" t="e">
        <f t="shared" si="31"/>
        <v>#DIV/0!</v>
      </c>
      <c r="DG117" s="5" t="e">
        <f t="shared" si="30"/>
        <v>#DIV/0!</v>
      </c>
    </row>
    <row r="118" spans="1:111">
      <c r="A118" s="54">
        <v>459144</v>
      </c>
      <c r="B118" s="52" t="s">
        <v>298</v>
      </c>
      <c r="C118" s="52" t="s">
        <v>299</v>
      </c>
      <c r="D118" t="s">
        <v>300</v>
      </c>
      <c r="F118" s="52" t="s">
        <v>122</v>
      </c>
      <c r="G118" s="52">
        <v>24.89</v>
      </c>
      <c r="H118" s="52">
        <v>10.81</v>
      </c>
      <c r="I118" s="52">
        <v>1.046</v>
      </c>
      <c r="K118" s="52">
        <v>13.68</v>
      </c>
      <c r="L118" s="52"/>
      <c r="M118" s="52">
        <v>2.91</v>
      </c>
      <c r="N118" s="52">
        <v>0.20100000000000001</v>
      </c>
      <c r="O118" s="52">
        <v>30.57</v>
      </c>
      <c r="Q118" s="52">
        <v>0.26800000000000002</v>
      </c>
      <c r="T118" s="50"/>
      <c r="X118" s="52">
        <v>15.87</v>
      </c>
      <c r="AB118" s="52">
        <v>0.32200000000000001</v>
      </c>
      <c r="BG118">
        <f t="shared" si="35"/>
        <v>0</v>
      </c>
      <c r="BH118">
        <f t="shared" si="36"/>
        <v>0</v>
      </c>
      <c r="BI118">
        <f t="shared" si="37"/>
        <v>0</v>
      </c>
      <c r="BJ118">
        <f t="shared" si="38"/>
        <v>0</v>
      </c>
      <c r="BK118">
        <f t="shared" si="39"/>
        <v>0</v>
      </c>
      <c r="BL118">
        <f t="shared" si="40"/>
        <v>0</v>
      </c>
      <c r="BM118">
        <f t="shared" si="41"/>
        <v>0</v>
      </c>
      <c r="BN118">
        <f t="shared" si="42"/>
        <v>0</v>
      </c>
      <c r="BO118">
        <f t="shared" si="43"/>
        <v>0</v>
      </c>
      <c r="BP118">
        <f t="shared" si="44"/>
        <v>0</v>
      </c>
      <c r="BQ118">
        <f t="shared" si="45"/>
        <v>0</v>
      </c>
      <c r="BR118">
        <f t="shared" si="46"/>
        <v>0</v>
      </c>
      <c r="BS118">
        <f t="shared" si="47"/>
        <v>0</v>
      </c>
      <c r="BT118">
        <f t="shared" si="48"/>
        <v>0</v>
      </c>
      <c r="BU118" t="e">
        <f t="shared" si="49"/>
        <v>#DIV/0!</v>
      </c>
      <c r="BV118" t="e">
        <f t="shared" si="50"/>
        <v>#DIV/0!</v>
      </c>
      <c r="BX118" t="e">
        <f t="shared" si="51"/>
        <v>#DIV/0!</v>
      </c>
      <c r="BZ118" t="s">
        <v>173</v>
      </c>
      <c r="CA118" t="s">
        <v>173</v>
      </c>
      <c r="CB118" t="s">
        <v>173</v>
      </c>
      <c r="CC118" t="s">
        <v>173</v>
      </c>
      <c r="CD118" t="s">
        <v>173</v>
      </c>
      <c r="CE118" t="s">
        <v>173</v>
      </c>
      <c r="CF118">
        <v>5.4100000000000002E-2</v>
      </c>
      <c r="CG118">
        <v>0.2853</v>
      </c>
      <c r="CH118" t="s">
        <v>173</v>
      </c>
      <c r="CI118">
        <v>6.9199999999999998E-2</v>
      </c>
      <c r="CJ118" s="24">
        <v>0</v>
      </c>
      <c r="CK118">
        <v>0.2157</v>
      </c>
      <c r="CL118">
        <v>2.2800000000000001E-2</v>
      </c>
      <c r="CM118">
        <v>0.31359999999999999</v>
      </c>
      <c r="CN118" s="24">
        <v>0</v>
      </c>
      <c r="CO118" t="s">
        <v>173</v>
      </c>
      <c r="CP118" t="s">
        <v>173</v>
      </c>
      <c r="CQ118" t="s">
        <v>173</v>
      </c>
      <c r="CR118" t="s">
        <v>173</v>
      </c>
      <c r="CS118" t="s">
        <v>173</v>
      </c>
      <c r="CT118" t="s">
        <v>173</v>
      </c>
      <c r="CU118" t="s">
        <v>173</v>
      </c>
      <c r="CV118" t="s">
        <v>173</v>
      </c>
      <c r="CW118" t="s">
        <v>173</v>
      </c>
      <c r="CX118">
        <v>0</v>
      </c>
      <c r="CY118">
        <v>1.21E-2</v>
      </c>
      <c r="CZ118">
        <v>5.0000000000000001E-3</v>
      </c>
      <c r="DA118" t="s">
        <v>173</v>
      </c>
      <c r="DB118">
        <v>2.23E-2</v>
      </c>
      <c r="DC118" s="24">
        <f t="shared" si="28"/>
        <v>6.9199999999999998E-2</v>
      </c>
      <c r="DD118" s="24">
        <f t="shared" si="29"/>
        <v>0.33939999999999998</v>
      </c>
      <c r="DE118" s="24">
        <f t="shared" si="31"/>
        <v>0.52929999999999999</v>
      </c>
      <c r="DG118" s="5" t="e">
        <f t="shared" si="30"/>
        <v>#DIV/0!</v>
      </c>
    </row>
    <row r="119" spans="1:111">
      <c r="A119" s="54">
        <v>459144</v>
      </c>
      <c r="B119" s="52" t="s">
        <v>298</v>
      </c>
      <c r="C119" s="52" t="s">
        <v>299</v>
      </c>
      <c r="D119" t="s">
        <v>300</v>
      </c>
      <c r="F119" s="52" t="s">
        <v>122</v>
      </c>
      <c r="G119" s="52">
        <v>24.78</v>
      </c>
      <c r="H119" s="52">
        <v>10.88</v>
      </c>
      <c r="I119" s="52">
        <v>1.0269999999999999</v>
      </c>
      <c r="K119" s="52">
        <v>13.7</v>
      </c>
      <c r="L119" s="52"/>
      <c r="M119" s="52">
        <v>2.92</v>
      </c>
      <c r="N119" s="52">
        <v>0.193</v>
      </c>
      <c r="O119" s="52">
        <v>30.26</v>
      </c>
      <c r="Q119" s="52">
        <v>0.249</v>
      </c>
      <c r="T119" s="50"/>
      <c r="X119" s="52">
        <v>15.82</v>
      </c>
      <c r="AB119" s="52">
        <v>0.32</v>
      </c>
      <c r="BG119">
        <f t="shared" si="35"/>
        <v>0</v>
      </c>
      <c r="BH119">
        <f t="shared" si="36"/>
        <v>0</v>
      </c>
      <c r="BI119">
        <f t="shared" si="37"/>
        <v>0</v>
      </c>
      <c r="BJ119">
        <f t="shared" si="38"/>
        <v>0</v>
      </c>
      <c r="BK119">
        <f t="shared" si="39"/>
        <v>0</v>
      </c>
      <c r="BL119">
        <f t="shared" si="40"/>
        <v>0</v>
      </c>
      <c r="BM119">
        <f t="shared" si="41"/>
        <v>0</v>
      </c>
      <c r="BN119">
        <f t="shared" si="42"/>
        <v>0</v>
      </c>
      <c r="BO119">
        <f t="shared" si="43"/>
        <v>0</v>
      </c>
      <c r="BP119">
        <f t="shared" si="44"/>
        <v>0</v>
      </c>
      <c r="BQ119">
        <f t="shared" si="45"/>
        <v>0</v>
      </c>
      <c r="BR119">
        <f t="shared" si="46"/>
        <v>0</v>
      </c>
      <c r="BS119">
        <f t="shared" si="47"/>
        <v>0</v>
      </c>
      <c r="BT119">
        <f t="shared" si="48"/>
        <v>0</v>
      </c>
      <c r="BU119" t="e">
        <f t="shared" si="49"/>
        <v>#DIV/0!</v>
      </c>
      <c r="BV119" t="e">
        <f t="shared" si="50"/>
        <v>#DIV/0!</v>
      </c>
      <c r="BX119" t="e">
        <f t="shared" si="51"/>
        <v>#DIV/0!</v>
      </c>
      <c r="BZ119" t="s">
        <v>173</v>
      </c>
      <c r="CA119" t="s">
        <v>173</v>
      </c>
      <c r="CB119" t="s">
        <v>173</v>
      </c>
      <c r="CC119" t="s">
        <v>173</v>
      </c>
      <c r="CD119" t="s">
        <v>173</v>
      </c>
      <c r="CE119" t="s">
        <v>173</v>
      </c>
      <c r="CF119">
        <v>5.33E-2</v>
      </c>
      <c r="CG119">
        <v>0.28660000000000002</v>
      </c>
      <c r="CH119" t="s">
        <v>173</v>
      </c>
      <c r="CI119">
        <v>6.8099999999999994E-2</v>
      </c>
      <c r="CJ119" s="24">
        <v>0</v>
      </c>
      <c r="CK119">
        <v>0.24460000000000001</v>
      </c>
      <c r="CL119">
        <v>2.1299999999999999E-2</v>
      </c>
      <c r="CM119">
        <v>0.29289999999999999</v>
      </c>
      <c r="CN119" s="24">
        <v>0</v>
      </c>
      <c r="CO119" t="s">
        <v>173</v>
      </c>
      <c r="CP119" t="s">
        <v>173</v>
      </c>
      <c r="CQ119" t="s">
        <v>173</v>
      </c>
      <c r="CR119" t="s">
        <v>173</v>
      </c>
      <c r="CS119" t="s">
        <v>173</v>
      </c>
      <c r="CT119" t="s">
        <v>173</v>
      </c>
      <c r="CU119" t="s">
        <v>173</v>
      </c>
      <c r="CV119" t="s">
        <v>173</v>
      </c>
      <c r="CW119" t="s">
        <v>173</v>
      </c>
      <c r="CX119">
        <v>0</v>
      </c>
      <c r="CY119" t="s">
        <v>173</v>
      </c>
      <c r="CZ119">
        <v>4.7999999999999996E-3</v>
      </c>
      <c r="DA119" t="s">
        <v>173</v>
      </c>
      <c r="DB119">
        <v>2.3199999999999998E-2</v>
      </c>
      <c r="DC119" s="24">
        <f t="shared" si="28"/>
        <v>6.8099999999999994E-2</v>
      </c>
      <c r="DD119" s="24">
        <f t="shared" si="29"/>
        <v>0.33990000000000004</v>
      </c>
      <c r="DE119" s="24">
        <f t="shared" si="31"/>
        <v>0.53749999999999998</v>
      </c>
      <c r="DG119" s="5" t="e">
        <f t="shared" si="30"/>
        <v>#DIV/0!</v>
      </c>
    </row>
    <row r="120" spans="1:111">
      <c r="A120" s="47"/>
      <c r="B120" s="47"/>
      <c r="C120" s="47"/>
      <c r="D120" t="s">
        <v>300</v>
      </c>
      <c r="F120" s="47"/>
      <c r="G120" s="47"/>
      <c r="H120" s="47"/>
      <c r="I120" s="47"/>
      <c r="K120" s="47"/>
      <c r="L120" s="47"/>
      <c r="M120" s="47"/>
      <c r="N120" s="47"/>
      <c r="O120" s="47"/>
      <c r="Q120" s="47"/>
      <c r="T120" s="50"/>
      <c r="X120" s="47"/>
      <c r="AB120" s="47"/>
      <c r="BG120">
        <f t="shared" si="35"/>
        <v>0</v>
      </c>
      <c r="BH120">
        <f t="shared" si="36"/>
        <v>0</v>
      </c>
      <c r="BI120">
        <f t="shared" si="37"/>
        <v>0</v>
      </c>
      <c r="BJ120">
        <f t="shared" si="38"/>
        <v>0</v>
      </c>
      <c r="BK120">
        <f t="shared" si="39"/>
        <v>0</v>
      </c>
      <c r="BL120">
        <f t="shared" si="40"/>
        <v>0</v>
      </c>
      <c r="BM120">
        <f t="shared" si="41"/>
        <v>0</v>
      </c>
      <c r="BN120">
        <f t="shared" si="42"/>
        <v>0</v>
      </c>
      <c r="BO120">
        <f t="shared" si="43"/>
        <v>0</v>
      </c>
      <c r="BP120">
        <f t="shared" si="44"/>
        <v>0</v>
      </c>
      <c r="BQ120">
        <f t="shared" si="45"/>
        <v>0</v>
      </c>
      <c r="BR120">
        <f t="shared" si="46"/>
        <v>0</v>
      </c>
      <c r="BS120">
        <f t="shared" si="47"/>
        <v>0</v>
      </c>
      <c r="BT120">
        <f t="shared" si="48"/>
        <v>0</v>
      </c>
      <c r="BU120" t="e">
        <f t="shared" si="49"/>
        <v>#DIV/0!</v>
      </c>
      <c r="BV120" t="e">
        <f t="shared" si="50"/>
        <v>#DIV/0!</v>
      </c>
      <c r="BX120" t="e">
        <f t="shared" si="51"/>
        <v>#DIV/0!</v>
      </c>
      <c r="BZ120" t="e">
        <v>#DIV/0!</v>
      </c>
      <c r="CA120" t="e">
        <v>#DIV/0!</v>
      </c>
      <c r="CB120" t="e">
        <v>#DIV/0!</v>
      </c>
      <c r="CC120" t="e">
        <v>#DIV/0!</v>
      </c>
      <c r="CD120" t="e">
        <v>#DIV/0!</v>
      </c>
      <c r="CE120" t="e">
        <v>#DIV/0!</v>
      </c>
      <c r="CF120" t="e">
        <v>#DIV/0!</v>
      </c>
      <c r="CG120" t="e">
        <v>#DIV/0!</v>
      </c>
      <c r="CH120" t="e">
        <v>#DIV/0!</v>
      </c>
      <c r="CI120" t="e">
        <v>#DIV/0!</v>
      </c>
      <c r="CJ120" s="24">
        <v>0</v>
      </c>
      <c r="CK120" t="e">
        <v>#DIV/0!</v>
      </c>
      <c r="CL120" t="e">
        <v>#DIV/0!</v>
      </c>
      <c r="CM120" t="e">
        <v>#DIV/0!</v>
      </c>
      <c r="CN120" t="e">
        <v>#DIV/0!</v>
      </c>
      <c r="CO120" t="e">
        <v>#DIV/0!</v>
      </c>
      <c r="CP120" t="e">
        <v>#DIV/0!</v>
      </c>
      <c r="CQ120" t="e">
        <v>#DIV/0!</v>
      </c>
      <c r="CR120" t="e">
        <v>#DIV/0!</v>
      </c>
      <c r="CS120" t="e">
        <v>#DIV/0!</v>
      </c>
      <c r="CT120" t="e">
        <v>#DIV/0!</v>
      </c>
      <c r="CU120" t="e">
        <v>#DIV/0!</v>
      </c>
      <c r="CV120" t="e">
        <v>#DIV/0!</v>
      </c>
      <c r="CW120" t="e">
        <v>#DIV/0!</v>
      </c>
      <c r="CX120">
        <v>0</v>
      </c>
      <c r="CY120" t="e">
        <v>#DIV/0!</v>
      </c>
      <c r="CZ120" t="e">
        <v>#DIV/0!</v>
      </c>
      <c r="DA120" t="e">
        <v>#DIV/0!</v>
      </c>
      <c r="DB120" t="e">
        <v>#DIV/0!</v>
      </c>
      <c r="DC120" s="24" t="e">
        <f t="shared" si="28"/>
        <v>#DIV/0!</v>
      </c>
      <c r="DD120" s="24" t="e">
        <f t="shared" si="29"/>
        <v>#DIV/0!</v>
      </c>
      <c r="DE120" s="24" t="e">
        <f t="shared" si="31"/>
        <v>#DIV/0!</v>
      </c>
      <c r="DG120" s="5" t="e">
        <f t="shared" si="30"/>
        <v>#DIV/0!</v>
      </c>
    </row>
    <row r="121" spans="1:111">
      <c r="A121" s="54">
        <v>459144</v>
      </c>
      <c r="B121" s="52" t="s">
        <v>298</v>
      </c>
      <c r="C121" s="52" t="s">
        <v>299</v>
      </c>
      <c r="D121" t="s">
        <v>300</v>
      </c>
      <c r="F121" s="52" t="s">
        <v>122</v>
      </c>
      <c r="G121" s="52">
        <v>24</v>
      </c>
      <c r="H121" s="52">
        <v>10.42</v>
      </c>
      <c r="I121" s="52">
        <v>1.62</v>
      </c>
      <c r="K121" s="52">
        <v>13.43</v>
      </c>
      <c r="L121" s="52"/>
      <c r="M121" s="52">
        <v>2.71</v>
      </c>
      <c r="N121" s="52">
        <v>0.13300000000000001</v>
      </c>
      <c r="O121" s="52">
        <v>30.66</v>
      </c>
      <c r="Q121" s="52">
        <v>0.16800000000000001</v>
      </c>
      <c r="T121" s="50"/>
      <c r="X121" s="52">
        <v>16.89</v>
      </c>
      <c r="AB121" s="52">
        <v>0.32</v>
      </c>
      <c r="BG121">
        <f t="shared" si="35"/>
        <v>0</v>
      </c>
      <c r="BH121">
        <f t="shared" si="36"/>
        <v>0</v>
      </c>
      <c r="BI121">
        <f t="shared" si="37"/>
        <v>0</v>
      </c>
      <c r="BJ121">
        <f t="shared" si="38"/>
        <v>0</v>
      </c>
      <c r="BK121">
        <f t="shared" si="39"/>
        <v>0</v>
      </c>
      <c r="BL121">
        <f t="shared" si="40"/>
        <v>0</v>
      </c>
      <c r="BM121">
        <f t="shared" si="41"/>
        <v>0</v>
      </c>
      <c r="BN121">
        <f t="shared" si="42"/>
        <v>0</v>
      </c>
      <c r="BO121">
        <f t="shared" si="43"/>
        <v>0</v>
      </c>
      <c r="BP121">
        <f t="shared" si="44"/>
        <v>0</v>
      </c>
      <c r="BQ121">
        <f t="shared" si="45"/>
        <v>0</v>
      </c>
      <c r="BR121">
        <f t="shared" si="46"/>
        <v>0</v>
      </c>
      <c r="BS121">
        <f t="shared" si="47"/>
        <v>0</v>
      </c>
      <c r="BT121">
        <f t="shared" si="48"/>
        <v>0</v>
      </c>
      <c r="BU121" t="e">
        <f t="shared" si="49"/>
        <v>#DIV/0!</v>
      </c>
      <c r="BV121" t="e">
        <f t="shared" si="50"/>
        <v>#DIV/0!</v>
      </c>
      <c r="BX121" t="e">
        <f t="shared" si="51"/>
        <v>#DIV/0!</v>
      </c>
      <c r="BZ121" t="s">
        <v>173</v>
      </c>
      <c r="CA121" t="s">
        <v>173</v>
      </c>
      <c r="CB121" t="s">
        <v>173</v>
      </c>
      <c r="CC121" t="s">
        <v>173</v>
      </c>
      <c r="CD121" t="s">
        <v>173</v>
      </c>
      <c r="CE121" t="s">
        <v>173</v>
      </c>
      <c r="CF121">
        <v>8.43E-2</v>
      </c>
      <c r="CG121">
        <v>0.27950000000000003</v>
      </c>
      <c r="CH121" t="s">
        <v>173</v>
      </c>
      <c r="CI121">
        <v>7.5899999999999995E-2</v>
      </c>
      <c r="CJ121" s="24">
        <v>0</v>
      </c>
      <c r="CK121">
        <v>0.21379999999999999</v>
      </c>
      <c r="CL121">
        <v>1.44E-2</v>
      </c>
      <c r="CM121">
        <v>0.29820000000000002</v>
      </c>
      <c r="CN121" s="24">
        <v>0</v>
      </c>
      <c r="CO121" t="s">
        <v>173</v>
      </c>
      <c r="CP121" t="s">
        <v>173</v>
      </c>
      <c r="CQ121" t="s">
        <v>173</v>
      </c>
      <c r="CR121" t="s">
        <v>173</v>
      </c>
      <c r="CS121" t="s">
        <v>173</v>
      </c>
      <c r="CT121" t="s">
        <v>173</v>
      </c>
      <c r="CU121" t="s">
        <v>173</v>
      </c>
      <c r="CV121" t="s">
        <v>173</v>
      </c>
      <c r="CW121" t="s">
        <v>173</v>
      </c>
      <c r="CX121">
        <v>0</v>
      </c>
      <c r="CY121">
        <v>1.0999999999999999E-2</v>
      </c>
      <c r="CZ121">
        <v>3.3E-3</v>
      </c>
      <c r="DA121" t="s">
        <v>173</v>
      </c>
      <c r="DB121">
        <v>1.9599999999999999E-2</v>
      </c>
      <c r="DC121" s="24">
        <f t="shared" si="28"/>
        <v>7.5899999999999995E-2</v>
      </c>
      <c r="DD121" s="24">
        <f t="shared" si="29"/>
        <v>0.36380000000000001</v>
      </c>
      <c r="DE121" s="24">
        <f t="shared" si="31"/>
        <v>0.51200000000000001</v>
      </c>
      <c r="DG121" s="5" t="e">
        <f t="shared" si="30"/>
        <v>#DIV/0!</v>
      </c>
    </row>
    <row r="122" spans="1:111">
      <c r="A122" s="47"/>
      <c r="B122" s="47"/>
      <c r="C122" s="47"/>
      <c r="D122" t="s">
        <v>300</v>
      </c>
      <c r="F122" s="47"/>
      <c r="G122" s="47"/>
      <c r="H122" s="47"/>
      <c r="I122" s="47"/>
      <c r="K122" s="47"/>
      <c r="L122" s="47"/>
      <c r="M122" s="47"/>
      <c r="N122" s="47"/>
      <c r="O122" s="47"/>
      <c r="Q122" s="47"/>
      <c r="T122" s="50"/>
      <c r="X122" s="47"/>
      <c r="AB122" s="47"/>
      <c r="BG122">
        <f t="shared" si="35"/>
        <v>0</v>
      </c>
      <c r="BH122">
        <f t="shared" si="36"/>
        <v>0</v>
      </c>
      <c r="BI122">
        <f t="shared" si="37"/>
        <v>0</v>
      </c>
      <c r="BJ122">
        <f t="shared" si="38"/>
        <v>0</v>
      </c>
      <c r="BK122">
        <f t="shared" si="39"/>
        <v>0</v>
      </c>
      <c r="BL122">
        <f t="shared" si="40"/>
        <v>0</v>
      </c>
      <c r="BM122">
        <f t="shared" si="41"/>
        <v>0</v>
      </c>
      <c r="BN122">
        <f t="shared" si="42"/>
        <v>0</v>
      </c>
      <c r="BO122">
        <f t="shared" si="43"/>
        <v>0</v>
      </c>
      <c r="BP122">
        <f t="shared" si="44"/>
        <v>0</v>
      </c>
      <c r="BQ122">
        <f t="shared" si="45"/>
        <v>0</v>
      </c>
      <c r="BR122">
        <f t="shared" si="46"/>
        <v>0</v>
      </c>
      <c r="BS122">
        <f t="shared" si="47"/>
        <v>0</v>
      </c>
      <c r="BT122">
        <f t="shared" si="48"/>
        <v>0</v>
      </c>
      <c r="BU122" t="e">
        <f t="shared" si="49"/>
        <v>#DIV/0!</v>
      </c>
      <c r="BV122" t="e">
        <f t="shared" si="50"/>
        <v>#DIV/0!</v>
      </c>
      <c r="BX122" t="e">
        <f t="shared" si="51"/>
        <v>#DIV/0!</v>
      </c>
      <c r="BZ122" t="e">
        <v>#DIV/0!</v>
      </c>
      <c r="CA122" t="e">
        <v>#DIV/0!</v>
      </c>
      <c r="CB122" t="e">
        <v>#DIV/0!</v>
      </c>
      <c r="CC122" t="e">
        <v>#DIV/0!</v>
      </c>
      <c r="CD122" t="e">
        <v>#DIV/0!</v>
      </c>
      <c r="CE122" t="e">
        <v>#DIV/0!</v>
      </c>
      <c r="CF122" t="e">
        <v>#DIV/0!</v>
      </c>
      <c r="CG122" t="e">
        <v>#DIV/0!</v>
      </c>
      <c r="CH122" t="e">
        <v>#DIV/0!</v>
      </c>
      <c r="CI122" t="e">
        <v>#DIV/0!</v>
      </c>
      <c r="CJ122" s="24">
        <v>0</v>
      </c>
      <c r="CK122" t="e">
        <v>#DIV/0!</v>
      </c>
      <c r="CL122" t="e">
        <v>#DIV/0!</v>
      </c>
      <c r="CM122" t="e">
        <v>#DIV/0!</v>
      </c>
      <c r="CN122" t="e">
        <v>#DIV/0!</v>
      </c>
      <c r="CO122" t="e">
        <v>#DIV/0!</v>
      </c>
      <c r="CP122" t="e">
        <v>#DIV/0!</v>
      </c>
      <c r="CQ122" t="e">
        <v>#DIV/0!</v>
      </c>
      <c r="CR122" t="e">
        <v>#DIV/0!</v>
      </c>
      <c r="CS122" t="e">
        <v>#DIV/0!</v>
      </c>
      <c r="CT122" t="e">
        <v>#DIV/0!</v>
      </c>
      <c r="CU122" t="e">
        <v>#DIV/0!</v>
      </c>
      <c r="CV122" t="e">
        <v>#DIV/0!</v>
      </c>
      <c r="CW122" t="e">
        <v>#DIV/0!</v>
      </c>
      <c r="CX122">
        <v>0</v>
      </c>
      <c r="CY122" t="e">
        <v>#DIV/0!</v>
      </c>
      <c r="CZ122" t="e">
        <v>#DIV/0!</v>
      </c>
      <c r="DA122" t="e">
        <v>#DIV/0!</v>
      </c>
      <c r="DB122" t="e">
        <v>#DIV/0!</v>
      </c>
      <c r="DC122" s="24" t="e">
        <f t="shared" si="28"/>
        <v>#DIV/0!</v>
      </c>
      <c r="DD122" s="24" t="e">
        <f t="shared" si="29"/>
        <v>#DIV/0!</v>
      </c>
      <c r="DE122" s="24" t="e">
        <f t="shared" si="31"/>
        <v>#DIV/0!</v>
      </c>
      <c r="DG122" s="5" t="e">
        <f t="shared" si="30"/>
        <v>#DIV/0!</v>
      </c>
    </row>
    <row r="123" spans="1:111">
      <c r="A123" s="54">
        <v>459144</v>
      </c>
      <c r="B123" s="52" t="s">
        <v>298</v>
      </c>
      <c r="C123" s="52" t="s">
        <v>299</v>
      </c>
      <c r="D123" t="s">
        <v>300</v>
      </c>
      <c r="F123" s="52" t="s">
        <v>122</v>
      </c>
      <c r="G123" s="52">
        <v>24.25</v>
      </c>
      <c r="H123" s="52">
        <v>10.42</v>
      </c>
      <c r="I123" s="52">
        <v>1.6639999999999999</v>
      </c>
      <c r="K123" s="52">
        <v>13.71</v>
      </c>
      <c r="L123" s="52"/>
      <c r="M123" s="52">
        <v>2.82</v>
      </c>
      <c r="N123" s="52">
        <v>0.104</v>
      </c>
      <c r="O123" s="52">
        <v>30.81</v>
      </c>
      <c r="Q123" s="52">
        <v>0.11</v>
      </c>
      <c r="T123" s="50"/>
      <c r="X123" s="52">
        <v>16.45</v>
      </c>
      <c r="AB123" s="52">
        <v>0.312</v>
      </c>
      <c r="BG123">
        <f t="shared" si="35"/>
        <v>0</v>
      </c>
      <c r="BH123">
        <f t="shared" si="36"/>
        <v>0</v>
      </c>
      <c r="BI123">
        <f t="shared" si="37"/>
        <v>0</v>
      </c>
      <c r="BJ123">
        <f t="shared" si="38"/>
        <v>0</v>
      </c>
      <c r="BK123">
        <f t="shared" si="39"/>
        <v>0</v>
      </c>
      <c r="BL123">
        <f t="shared" si="40"/>
        <v>0</v>
      </c>
      <c r="BM123">
        <f t="shared" si="41"/>
        <v>0</v>
      </c>
      <c r="BN123">
        <f t="shared" si="42"/>
        <v>0</v>
      </c>
      <c r="BO123">
        <f t="shared" si="43"/>
        <v>0</v>
      </c>
      <c r="BP123">
        <f t="shared" si="44"/>
        <v>0</v>
      </c>
      <c r="BQ123">
        <f t="shared" si="45"/>
        <v>0</v>
      </c>
      <c r="BR123">
        <f t="shared" si="46"/>
        <v>0</v>
      </c>
      <c r="BS123">
        <f t="shared" si="47"/>
        <v>0</v>
      </c>
      <c r="BT123">
        <f t="shared" si="48"/>
        <v>0</v>
      </c>
      <c r="BU123" t="e">
        <f t="shared" si="49"/>
        <v>#DIV/0!</v>
      </c>
      <c r="BV123" t="e">
        <f t="shared" si="50"/>
        <v>#DIV/0!</v>
      </c>
      <c r="BX123" t="e">
        <f t="shared" si="51"/>
        <v>#DIV/0!</v>
      </c>
      <c r="BZ123" t="s">
        <v>173</v>
      </c>
      <c r="CA123" t="s">
        <v>173</v>
      </c>
      <c r="CB123" t="s">
        <v>173</v>
      </c>
      <c r="CC123" t="s">
        <v>173</v>
      </c>
      <c r="CD123" t="s">
        <v>173</v>
      </c>
      <c r="CE123" t="s">
        <v>173</v>
      </c>
      <c r="CF123">
        <v>8.6199999999999999E-2</v>
      </c>
      <c r="CG123">
        <v>0.26619999999999999</v>
      </c>
      <c r="CH123" t="s">
        <v>173</v>
      </c>
      <c r="CI123">
        <v>8.2299999999999998E-2</v>
      </c>
      <c r="CJ123" s="24">
        <v>0</v>
      </c>
      <c r="CK123">
        <v>0.20910000000000001</v>
      </c>
      <c r="CL123">
        <v>9.4000000000000004E-3</v>
      </c>
      <c r="CM123">
        <v>0.29620000000000002</v>
      </c>
      <c r="CN123" s="24">
        <v>0</v>
      </c>
      <c r="CO123" t="s">
        <v>173</v>
      </c>
      <c r="CP123" t="s">
        <v>173</v>
      </c>
      <c r="CQ123" t="s">
        <v>173</v>
      </c>
      <c r="CR123" t="s">
        <v>173</v>
      </c>
      <c r="CS123" t="s">
        <v>173</v>
      </c>
      <c r="CT123" t="s">
        <v>173</v>
      </c>
      <c r="CU123" t="s">
        <v>173</v>
      </c>
      <c r="CV123" t="s">
        <v>173</v>
      </c>
      <c r="CW123" t="s">
        <v>173</v>
      </c>
      <c r="CX123">
        <v>0</v>
      </c>
      <c r="CY123">
        <v>2.3599999999999999E-2</v>
      </c>
      <c r="CZ123">
        <v>2.5999999999999999E-3</v>
      </c>
      <c r="DA123" t="s">
        <v>173</v>
      </c>
      <c r="DB123">
        <v>2.4400000000000002E-2</v>
      </c>
      <c r="DC123" s="24">
        <f t="shared" si="28"/>
        <v>8.2299999999999998E-2</v>
      </c>
      <c r="DD123" s="24">
        <f t="shared" si="29"/>
        <v>0.35239999999999999</v>
      </c>
      <c r="DE123" s="24">
        <f t="shared" si="31"/>
        <v>0.50530000000000008</v>
      </c>
      <c r="DG123" s="5" t="e">
        <f t="shared" si="30"/>
        <v>#DIV/0!</v>
      </c>
    </row>
    <row r="124" spans="1:111">
      <c r="A124" s="54">
        <v>459144</v>
      </c>
      <c r="B124" s="52" t="s">
        <v>298</v>
      </c>
      <c r="C124" s="52" t="s">
        <v>299</v>
      </c>
      <c r="D124" t="s">
        <v>300</v>
      </c>
      <c r="F124" s="52" t="s">
        <v>122</v>
      </c>
      <c r="G124" s="52">
        <v>24.1</v>
      </c>
      <c r="H124" s="52">
        <v>10.49</v>
      </c>
      <c r="I124" s="52">
        <v>1.6180000000000001</v>
      </c>
      <c r="K124" s="52">
        <v>13.92</v>
      </c>
      <c r="L124" s="52"/>
      <c r="M124" s="52">
        <v>2.71</v>
      </c>
      <c r="N124" s="52">
        <v>6.7000000000000004E-2</v>
      </c>
      <c r="O124" s="52">
        <v>30.98</v>
      </c>
      <c r="Q124" s="52">
        <v>0.184</v>
      </c>
      <c r="T124" s="50"/>
      <c r="X124" s="52">
        <v>16.559999999999999</v>
      </c>
      <c r="AB124" s="52">
        <v>0.29399999999999998</v>
      </c>
      <c r="BG124">
        <f t="shared" si="35"/>
        <v>0</v>
      </c>
      <c r="BH124">
        <f t="shared" si="36"/>
        <v>0</v>
      </c>
      <c r="BI124">
        <f t="shared" si="37"/>
        <v>0</v>
      </c>
      <c r="BJ124">
        <f t="shared" si="38"/>
        <v>0</v>
      </c>
      <c r="BK124">
        <f t="shared" si="39"/>
        <v>0</v>
      </c>
      <c r="BL124">
        <f t="shared" si="40"/>
        <v>0</v>
      </c>
      <c r="BM124">
        <f t="shared" si="41"/>
        <v>0</v>
      </c>
      <c r="BN124">
        <f t="shared" si="42"/>
        <v>0</v>
      </c>
      <c r="BO124">
        <f t="shared" si="43"/>
        <v>0</v>
      </c>
      <c r="BP124">
        <f t="shared" si="44"/>
        <v>0</v>
      </c>
      <c r="BQ124">
        <f t="shared" si="45"/>
        <v>0</v>
      </c>
      <c r="BR124">
        <f t="shared" si="46"/>
        <v>0</v>
      </c>
      <c r="BS124">
        <f t="shared" si="47"/>
        <v>0</v>
      </c>
      <c r="BT124">
        <f t="shared" si="48"/>
        <v>0</v>
      </c>
      <c r="BU124" t="e">
        <f t="shared" si="49"/>
        <v>#DIV/0!</v>
      </c>
      <c r="BV124" t="e">
        <f t="shared" si="50"/>
        <v>#DIV/0!</v>
      </c>
      <c r="BX124" t="e">
        <f t="shared" si="51"/>
        <v>#DIV/0!</v>
      </c>
      <c r="BZ124" t="s">
        <v>173</v>
      </c>
      <c r="CA124" t="s">
        <v>173</v>
      </c>
      <c r="CB124" t="s">
        <v>173</v>
      </c>
      <c r="CC124" t="s">
        <v>173</v>
      </c>
      <c r="CD124" t="s">
        <v>173</v>
      </c>
      <c r="CE124" t="s">
        <v>173</v>
      </c>
      <c r="CF124">
        <v>8.3599999999999994E-2</v>
      </c>
      <c r="CG124">
        <v>0.27029999999999998</v>
      </c>
      <c r="CH124" t="s">
        <v>173</v>
      </c>
      <c r="CI124">
        <v>8.9800000000000005E-2</v>
      </c>
      <c r="CJ124" s="24">
        <v>0</v>
      </c>
      <c r="CK124">
        <v>0.18079999999999999</v>
      </c>
      <c r="CL124">
        <v>1.5599999999999999E-2</v>
      </c>
      <c r="CM124">
        <v>0.30009999999999998</v>
      </c>
      <c r="CN124">
        <v>0</v>
      </c>
      <c r="CO124" t="s">
        <v>173</v>
      </c>
      <c r="CP124" t="s">
        <v>173</v>
      </c>
      <c r="CQ124" t="s">
        <v>173</v>
      </c>
      <c r="CR124" t="s">
        <v>173</v>
      </c>
      <c r="CS124" t="s">
        <v>173</v>
      </c>
      <c r="CT124" t="s">
        <v>173</v>
      </c>
      <c r="CU124" t="s">
        <v>173</v>
      </c>
      <c r="CV124" t="s">
        <v>173</v>
      </c>
      <c r="CW124" t="s">
        <v>173</v>
      </c>
      <c r="CX124">
        <v>0</v>
      </c>
      <c r="CY124">
        <v>4.0099999999999997E-2</v>
      </c>
      <c r="CZ124">
        <v>1.6999999999999999E-3</v>
      </c>
      <c r="DA124" t="s">
        <v>173</v>
      </c>
      <c r="DB124">
        <v>1.7999999999999999E-2</v>
      </c>
      <c r="DC124" s="24">
        <f t="shared" si="28"/>
        <v>8.9800000000000005E-2</v>
      </c>
      <c r="DD124" s="24">
        <f t="shared" si="29"/>
        <v>0.35389999999999999</v>
      </c>
      <c r="DE124" s="24">
        <f t="shared" si="31"/>
        <v>0.48089999999999999</v>
      </c>
      <c r="DG124" s="5" t="e">
        <f t="shared" si="30"/>
        <v>#DIV/0!</v>
      </c>
    </row>
    <row r="125" spans="1:111">
      <c r="A125" s="54">
        <v>459144</v>
      </c>
      <c r="B125" s="52" t="s">
        <v>298</v>
      </c>
      <c r="C125" s="52" t="s">
        <v>299</v>
      </c>
      <c r="D125" t="s">
        <v>300</v>
      </c>
      <c r="F125" s="52" t="s">
        <v>123</v>
      </c>
      <c r="G125" s="52">
        <v>25.22</v>
      </c>
      <c r="H125" s="52">
        <v>10.67</v>
      </c>
      <c r="I125" s="52">
        <v>1.262</v>
      </c>
      <c r="K125" s="52">
        <v>14.52</v>
      </c>
      <c r="L125" s="52"/>
      <c r="M125" s="52">
        <v>2.72</v>
      </c>
      <c r="N125" s="52">
        <v>6.9000000000000006E-2</v>
      </c>
      <c r="O125" s="52">
        <v>31.48</v>
      </c>
      <c r="Q125" s="52">
        <v>0.124</v>
      </c>
      <c r="T125" s="50"/>
      <c r="X125" s="52">
        <v>14.38</v>
      </c>
      <c r="AB125" s="52">
        <v>0.252</v>
      </c>
      <c r="BG125">
        <f t="shared" si="35"/>
        <v>0</v>
      </c>
      <c r="BH125">
        <f t="shared" si="36"/>
        <v>0</v>
      </c>
      <c r="BI125">
        <f t="shared" si="37"/>
        <v>0</v>
      </c>
      <c r="BJ125">
        <f t="shared" si="38"/>
        <v>0</v>
      </c>
      <c r="BK125">
        <f t="shared" si="39"/>
        <v>0</v>
      </c>
      <c r="BL125">
        <f t="shared" si="40"/>
        <v>0</v>
      </c>
      <c r="BM125">
        <f t="shared" si="41"/>
        <v>0</v>
      </c>
      <c r="BN125">
        <f t="shared" si="42"/>
        <v>0</v>
      </c>
      <c r="BO125">
        <f t="shared" si="43"/>
        <v>0</v>
      </c>
      <c r="BP125">
        <f t="shared" si="44"/>
        <v>0</v>
      </c>
      <c r="BQ125">
        <f t="shared" si="45"/>
        <v>0</v>
      </c>
      <c r="BR125">
        <f t="shared" si="46"/>
        <v>0</v>
      </c>
      <c r="BS125">
        <f t="shared" si="47"/>
        <v>0</v>
      </c>
      <c r="BT125">
        <f t="shared" si="48"/>
        <v>0</v>
      </c>
      <c r="BU125" t="e">
        <f t="shared" si="49"/>
        <v>#DIV/0!</v>
      </c>
      <c r="BV125" t="e">
        <f t="shared" si="50"/>
        <v>#DIV/0!</v>
      </c>
      <c r="BX125" t="e">
        <f t="shared" si="51"/>
        <v>#DIV/0!</v>
      </c>
      <c r="BZ125" t="s">
        <v>173</v>
      </c>
      <c r="CA125" t="s">
        <v>173</v>
      </c>
      <c r="CB125" t="s">
        <v>173</v>
      </c>
      <c r="CC125" t="s">
        <v>173</v>
      </c>
      <c r="CD125" t="s">
        <v>173</v>
      </c>
      <c r="CE125" t="s">
        <v>173</v>
      </c>
      <c r="CF125">
        <v>6.4699999999999994E-2</v>
      </c>
      <c r="CG125">
        <v>0.24030000000000001</v>
      </c>
      <c r="CH125" t="s">
        <v>173</v>
      </c>
      <c r="CI125">
        <v>9.8199999999999996E-2</v>
      </c>
      <c r="CJ125" s="24">
        <v>0</v>
      </c>
      <c r="CK125">
        <v>0.16839999999999999</v>
      </c>
      <c r="CL125">
        <v>1.0500000000000001E-2</v>
      </c>
      <c r="CM125">
        <v>0.31259999999999999</v>
      </c>
      <c r="CN125" s="24">
        <v>0</v>
      </c>
      <c r="CO125" t="s">
        <v>173</v>
      </c>
      <c r="CP125" t="s">
        <v>173</v>
      </c>
      <c r="CQ125" t="s">
        <v>173</v>
      </c>
      <c r="CR125" t="s">
        <v>173</v>
      </c>
      <c r="CS125" t="s">
        <v>173</v>
      </c>
      <c r="CT125" t="s">
        <v>173</v>
      </c>
      <c r="CU125" t="s">
        <v>173</v>
      </c>
      <c r="CV125" t="s">
        <v>173</v>
      </c>
      <c r="CW125" t="s">
        <v>173</v>
      </c>
      <c r="CX125">
        <v>0</v>
      </c>
      <c r="CY125">
        <v>9.0399999999999994E-2</v>
      </c>
      <c r="CZ125">
        <v>1.6999999999999999E-3</v>
      </c>
      <c r="DA125" t="s">
        <v>173</v>
      </c>
      <c r="DB125">
        <v>1.34E-2</v>
      </c>
      <c r="DC125" s="24">
        <f t="shared" si="28"/>
        <v>9.8199999999999996E-2</v>
      </c>
      <c r="DD125" s="24">
        <f t="shared" si="29"/>
        <v>0.30499999999999999</v>
      </c>
      <c r="DE125" s="24">
        <f t="shared" si="31"/>
        <v>0.48099999999999998</v>
      </c>
      <c r="DG125" s="5" t="e">
        <f t="shared" si="30"/>
        <v>#DIV/0!</v>
      </c>
    </row>
    <row r="126" spans="1:111">
      <c r="A126" s="54">
        <v>459144</v>
      </c>
      <c r="B126" s="52" t="s">
        <v>298</v>
      </c>
      <c r="C126" s="52" t="s">
        <v>299</v>
      </c>
      <c r="D126" t="s">
        <v>300</v>
      </c>
      <c r="F126" s="52" t="s">
        <v>123</v>
      </c>
      <c r="G126" s="52">
        <v>25.95</v>
      </c>
      <c r="H126" s="52">
        <v>11.66</v>
      </c>
      <c r="I126" s="52">
        <v>0.77900000000000003</v>
      </c>
      <c r="K126" s="52">
        <v>15.55</v>
      </c>
      <c r="L126" s="52"/>
      <c r="M126" s="52">
        <v>2.57</v>
      </c>
      <c r="N126" s="52">
        <v>5.5E-2</v>
      </c>
      <c r="O126" s="52">
        <v>31.95</v>
      </c>
      <c r="Q126" s="52">
        <v>0.14299999999999999</v>
      </c>
      <c r="T126" s="50"/>
      <c r="X126" s="52">
        <v>12.13</v>
      </c>
      <c r="AB126" s="52">
        <v>0.248</v>
      </c>
      <c r="BG126">
        <f t="shared" si="35"/>
        <v>0</v>
      </c>
      <c r="BH126">
        <f t="shared" si="36"/>
        <v>0</v>
      </c>
      <c r="BI126">
        <f t="shared" si="37"/>
        <v>0</v>
      </c>
      <c r="BJ126">
        <f t="shared" si="38"/>
        <v>0</v>
      </c>
      <c r="BK126">
        <f t="shared" si="39"/>
        <v>0</v>
      </c>
      <c r="BL126">
        <f t="shared" si="40"/>
        <v>0</v>
      </c>
      <c r="BM126">
        <f t="shared" si="41"/>
        <v>0</v>
      </c>
      <c r="BN126">
        <f t="shared" si="42"/>
        <v>0</v>
      </c>
      <c r="BO126">
        <f t="shared" si="43"/>
        <v>0</v>
      </c>
      <c r="BP126">
        <f t="shared" si="44"/>
        <v>0</v>
      </c>
      <c r="BQ126">
        <f t="shared" si="45"/>
        <v>0</v>
      </c>
      <c r="BR126">
        <f t="shared" si="46"/>
        <v>0</v>
      </c>
      <c r="BS126">
        <f t="shared" si="47"/>
        <v>0</v>
      </c>
      <c r="BT126">
        <f t="shared" si="48"/>
        <v>0</v>
      </c>
      <c r="BU126" t="e">
        <f t="shared" si="49"/>
        <v>#DIV/0!</v>
      </c>
      <c r="BV126" t="e">
        <f t="shared" si="50"/>
        <v>#DIV/0!</v>
      </c>
      <c r="BX126" t="e">
        <f t="shared" si="51"/>
        <v>#DIV/0!</v>
      </c>
      <c r="BZ126" t="s">
        <v>173</v>
      </c>
      <c r="CA126" t="s">
        <v>173</v>
      </c>
      <c r="CB126" t="s">
        <v>173</v>
      </c>
      <c r="CC126" t="s">
        <v>173</v>
      </c>
      <c r="CD126" t="s">
        <v>173</v>
      </c>
      <c r="CE126" t="s">
        <v>173</v>
      </c>
      <c r="CF126">
        <v>3.95E-2</v>
      </c>
      <c r="CG126">
        <v>0.215</v>
      </c>
      <c r="CH126" t="s">
        <v>173</v>
      </c>
      <c r="CI126">
        <v>0.12870000000000001</v>
      </c>
      <c r="CJ126" s="24">
        <v>0</v>
      </c>
      <c r="CK126">
        <v>0.16969999999999999</v>
      </c>
      <c r="CL126">
        <v>1.1900000000000001E-2</v>
      </c>
      <c r="CM126">
        <v>0.30409999999999998</v>
      </c>
      <c r="CN126">
        <v>0</v>
      </c>
      <c r="CO126" t="s">
        <v>173</v>
      </c>
      <c r="CP126" t="s">
        <v>173</v>
      </c>
      <c r="CQ126" t="s">
        <v>173</v>
      </c>
      <c r="CR126" t="s">
        <v>173</v>
      </c>
      <c r="CS126" t="s">
        <v>173</v>
      </c>
      <c r="CT126" t="s">
        <v>173</v>
      </c>
      <c r="CU126" t="s">
        <v>173</v>
      </c>
      <c r="CV126" t="s">
        <v>173</v>
      </c>
      <c r="CW126" t="s">
        <v>173</v>
      </c>
      <c r="CX126">
        <v>0</v>
      </c>
      <c r="CY126">
        <v>0.1212</v>
      </c>
      <c r="CZ126">
        <v>1.2999999999999999E-3</v>
      </c>
      <c r="DA126" t="s">
        <v>173</v>
      </c>
      <c r="DB126">
        <v>8.6E-3</v>
      </c>
      <c r="DC126" s="24">
        <f t="shared" si="28"/>
        <v>0.12870000000000001</v>
      </c>
      <c r="DD126" s="24">
        <f t="shared" si="29"/>
        <v>0.2545</v>
      </c>
      <c r="DE126" s="24">
        <f t="shared" si="31"/>
        <v>0.4738</v>
      </c>
      <c r="DG126" s="5" t="e">
        <f t="shared" si="30"/>
        <v>#DIV/0!</v>
      </c>
    </row>
    <row r="127" spans="1:111">
      <c r="A127" s="48"/>
      <c r="B127" s="48"/>
      <c r="C127" s="48"/>
      <c r="D127" t="s">
        <v>300</v>
      </c>
      <c r="F127" s="48"/>
      <c r="G127" s="50"/>
      <c r="H127" s="50"/>
      <c r="I127" s="50"/>
      <c r="K127" s="50"/>
      <c r="L127" s="50"/>
      <c r="M127" s="50"/>
      <c r="N127" s="50"/>
      <c r="O127" s="50"/>
      <c r="Q127" s="50"/>
      <c r="T127" s="50"/>
      <c r="X127" s="50"/>
      <c r="AB127" s="50"/>
      <c r="BG127">
        <f t="shared" si="35"/>
        <v>0</v>
      </c>
      <c r="BH127">
        <f t="shared" si="36"/>
        <v>0</v>
      </c>
      <c r="BI127">
        <f t="shared" si="37"/>
        <v>0</v>
      </c>
      <c r="BJ127">
        <f t="shared" si="38"/>
        <v>0</v>
      </c>
      <c r="BK127">
        <f t="shared" si="39"/>
        <v>0</v>
      </c>
      <c r="BL127">
        <f t="shared" si="40"/>
        <v>0</v>
      </c>
      <c r="BM127">
        <f t="shared" si="41"/>
        <v>0</v>
      </c>
      <c r="BN127">
        <f t="shared" si="42"/>
        <v>0</v>
      </c>
      <c r="BO127">
        <f t="shared" si="43"/>
        <v>0</v>
      </c>
      <c r="BP127">
        <f t="shared" si="44"/>
        <v>0</v>
      </c>
      <c r="BQ127">
        <f t="shared" si="45"/>
        <v>0</v>
      </c>
      <c r="BR127">
        <f t="shared" si="46"/>
        <v>0</v>
      </c>
      <c r="BS127">
        <f t="shared" si="47"/>
        <v>0</v>
      </c>
      <c r="BT127">
        <f t="shared" si="48"/>
        <v>0</v>
      </c>
      <c r="BU127" t="e">
        <f t="shared" si="49"/>
        <v>#DIV/0!</v>
      </c>
      <c r="BV127" t="e">
        <f t="shared" si="50"/>
        <v>#DIV/0!</v>
      </c>
      <c r="BX127" t="e">
        <f t="shared" si="51"/>
        <v>#DIV/0!</v>
      </c>
      <c r="BZ127" t="e">
        <v>#DIV/0!</v>
      </c>
      <c r="CA127" t="e">
        <v>#DIV/0!</v>
      </c>
      <c r="CB127" t="e">
        <v>#DIV/0!</v>
      </c>
      <c r="CC127" t="e">
        <v>#DIV/0!</v>
      </c>
      <c r="CD127" t="e">
        <v>#DIV/0!</v>
      </c>
      <c r="CE127" t="e">
        <v>#DIV/0!</v>
      </c>
      <c r="CF127" t="e">
        <v>#DIV/0!</v>
      </c>
      <c r="CG127" t="e">
        <v>#DIV/0!</v>
      </c>
      <c r="CH127" t="e">
        <v>#DIV/0!</v>
      </c>
      <c r="CI127" t="e">
        <v>#DIV/0!</v>
      </c>
      <c r="CJ127" s="24">
        <v>0</v>
      </c>
      <c r="CK127" t="e">
        <v>#DIV/0!</v>
      </c>
      <c r="CL127" t="e">
        <v>#DIV/0!</v>
      </c>
      <c r="CM127" t="e">
        <v>#DIV/0!</v>
      </c>
      <c r="CN127" t="e">
        <v>#DIV/0!</v>
      </c>
      <c r="CO127" t="e">
        <v>#DIV/0!</v>
      </c>
      <c r="CP127" t="e">
        <v>#DIV/0!</v>
      </c>
      <c r="CQ127" t="e">
        <v>#DIV/0!</v>
      </c>
      <c r="CR127" t="e">
        <v>#DIV/0!</v>
      </c>
      <c r="CS127" t="e">
        <v>#DIV/0!</v>
      </c>
      <c r="CT127" t="e">
        <v>#DIV/0!</v>
      </c>
      <c r="CU127" t="e">
        <v>#DIV/0!</v>
      </c>
      <c r="CV127" t="e">
        <v>#DIV/0!</v>
      </c>
      <c r="CW127" t="e">
        <v>#DIV/0!</v>
      </c>
      <c r="CX127">
        <v>0</v>
      </c>
      <c r="CY127" t="e">
        <v>#DIV/0!</v>
      </c>
      <c r="CZ127" t="e">
        <v>#DIV/0!</v>
      </c>
      <c r="DA127" t="e">
        <v>#DIV/0!</v>
      </c>
      <c r="DB127" t="e">
        <v>#DIV/0!</v>
      </c>
      <c r="DC127" s="24" t="e">
        <f t="shared" si="28"/>
        <v>#DIV/0!</v>
      </c>
      <c r="DD127" s="24" t="e">
        <f t="shared" si="29"/>
        <v>#DIV/0!</v>
      </c>
      <c r="DE127" s="24" t="e">
        <f t="shared" si="31"/>
        <v>#DIV/0!</v>
      </c>
      <c r="DG127" s="5" t="e">
        <f t="shared" si="30"/>
        <v>#DIV/0!</v>
      </c>
    </row>
    <row r="128" spans="1:111">
      <c r="A128" s="54">
        <v>459144</v>
      </c>
      <c r="B128" s="52" t="s">
        <v>298</v>
      </c>
      <c r="C128" s="52" t="s">
        <v>299</v>
      </c>
      <c r="D128" t="s">
        <v>300</v>
      </c>
      <c r="F128" s="52" t="s">
        <v>122</v>
      </c>
      <c r="G128" s="52">
        <v>26.12</v>
      </c>
      <c r="H128" s="52">
        <v>10.71</v>
      </c>
      <c r="I128" s="52">
        <v>0.89200000000000002</v>
      </c>
      <c r="K128" s="52">
        <v>13.93</v>
      </c>
      <c r="L128" s="52"/>
      <c r="M128" s="52">
        <v>3.08</v>
      </c>
      <c r="N128" s="52">
        <v>0.222</v>
      </c>
      <c r="O128" s="52">
        <v>30.68</v>
      </c>
      <c r="Q128" s="52">
        <v>0.24099999999999999</v>
      </c>
      <c r="T128" s="50"/>
      <c r="X128" s="52">
        <v>14.71</v>
      </c>
      <c r="AB128" s="52">
        <v>0.27</v>
      </c>
      <c r="BG128">
        <f t="shared" si="35"/>
        <v>0</v>
      </c>
      <c r="BH128">
        <f t="shared" si="36"/>
        <v>0</v>
      </c>
      <c r="BI128">
        <f t="shared" si="37"/>
        <v>0</v>
      </c>
      <c r="BJ128">
        <f t="shared" si="38"/>
        <v>0</v>
      </c>
      <c r="BK128">
        <f t="shared" si="39"/>
        <v>0</v>
      </c>
      <c r="BL128">
        <f t="shared" si="40"/>
        <v>0</v>
      </c>
      <c r="BM128">
        <f t="shared" si="41"/>
        <v>0</v>
      </c>
      <c r="BN128">
        <f t="shared" si="42"/>
        <v>0</v>
      </c>
      <c r="BO128">
        <f t="shared" si="43"/>
        <v>0</v>
      </c>
      <c r="BP128">
        <f t="shared" si="44"/>
        <v>0</v>
      </c>
      <c r="BQ128">
        <f t="shared" si="45"/>
        <v>0</v>
      </c>
      <c r="BR128">
        <f t="shared" si="46"/>
        <v>0</v>
      </c>
      <c r="BS128">
        <f t="shared" si="47"/>
        <v>0</v>
      </c>
      <c r="BT128">
        <f t="shared" si="48"/>
        <v>0</v>
      </c>
      <c r="BU128" t="e">
        <f t="shared" si="49"/>
        <v>#DIV/0!</v>
      </c>
      <c r="BV128" t="e">
        <f t="shared" si="50"/>
        <v>#DIV/0!</v>
      </c>
      <c r="BX128" t="e">
        <f t="shared" si="51"/>
        <v>#DIV/0!</v>
      </c>
      <c r="BZ128" t="s">
        <v>173</v>
      </c>
      <c r="CA128" t="s">
        <v>173</v>
      </c>
      <c r="CB128" t="s">
        <v>173</v>
      </c>
      <c r="CC128" t="s">
        <v>173</v>
      </c>
      <c r="CD128" t="s">
        <v>173</v>
      </c>
      <c r="CE128" t="s">
        <v>173</v>
      </c>
      <c r="CF128">
        <v>4.5600000000000002E-2</v>
      </c>
      <c r="CG128">
        <v>0.26569999999999999</v>
      </c>
      <c r="CH128" t="s">
        <v>173</v>
      </c>
      <c r="CI128">
        <v>5.5199999999999999E-2</v>
      </c>
      <c r="CJ128" s="24">
        <v>0</v>
      </c>
      <c r="CK128">
        <v>0.2399</v>
      </c>
      <c r="CL128">
        <v>2.0299999999999999E-2</v>
      </c>
      <c r="CM128">
        <v>0.30859999999999999</v>
      </c>
      <c r="CN128">
        <v>0</v>
      </c>
      <c r="CO128" t="s">
        <v>173</v>
      </c>
      <c r="CP128" t="s">
        <v>173</v>
      </c>
      <c r="CQ128" t="s">
        <v>173</v>
      </c>
      <c r="CR128" t="s">
        <v>173</v>
      </c>
      <c r="CS128" t="s">
        <v>173</v>
      </c>
      <c r="CT128" t="s">
        <v>173</v>
      </c>
      <c r="CU128" t="s">
        <v>173</v>
      </c>
      <c r="CV128" t="s">
        <v>173</v>
      </c>
      <c r="CW128" t="s">
        <v>173</v>
      </c>
      <c r="CX128">
        <v>0</v>
      </c>
      <c r="CY128">
        <v>2.9399999999999999E-2</v>
      </c>
      <c r="CZ128">
        <v>5.4000000000000003E-3</v>
      </c>
      <c r="DA128" t="s">
        <v>173</v>
      </c>
      <c r="DB128">
        <v>0.03</v>
      </c>
      <c r="DC128" s="24">
        <f t="shared" si="28"/>
        <v>5.5199999999999999E-2</v>
      </c>
      <c r="DD128" s="24">
        <f t="shared" si="29"/>
        <v>0.31130000000000002</v>
      </c>
      <c r="DE128" s="24">
        <f t="shared" si="31"/>
        <v>0.54849999999999999</v>
      </c>
      <c r="DG128" s="5" t="e">
        <f t="shared" si="30"/>
        <v>#DIV/0!</v>
      </c>
    </row>
    <row r="129" spans="1:111">
      <c r="A129" s="54">
        <v>459144</v>
      </c>
      <c r="B129" s="52" t="s">
        <v>298</v>
      </c>
      <c r="C129" s="52" t="s">
        <v>299</v>
      </c>
      <c r="D129" t="s">
        <v>300</v>
      </c>
      <c r="F129" s="52" t="s">
        <v>122</v>
      </c>
      <c r="G129" s="52">
        <v>26.08</v>
      </c>
      <c r="H129" s="52">
        <v>10.77</v>
      </c>
      <c r="I129" s="52">
        <v>0.84099999999999997</v>
      </c>
      <c r="K129" s="52">
        <v>13.87</v>
      </c>
      <c r="L129" s="52"/>
      <c r="M129" s="52">
        <v>3.06</v>
      </c>
      <c r="N129" s="52">
        <v>0.217</v>
      </c>
      <c r="O129" s="52">
        <v>30.61</v>
      </c>
      <c r="Q129" s="52">
        <v>0.27600000000000002</v>
      </c>
      <c r="T129" s="50"/>
      <c r="X129" s="52">
        <v>14.4</v>
      </c>
      <c r="AB129" s="52">
        <v>0.27900000000000003</v>
      </c>
      <c r="BG129">
        <f t="shared" si="35"/>
        <v>0</v>
      </c>
      <c r="BH129">
        <f t="shared" si="36"/>
        <v>0</v>
      </c>
      <c r="BI129">
        <f t="shared" si="37"/>
        <v>0</v>
      </c>
      <c r="BJ129">
        <f t="shared" si="38"/>
        <v>0</v>
      </c>
      <c r="BK129">
        <f t="shared" si="39"/>
        <v>0</v>
      </c>
      <c r="BL129">
        <f t="shared" si="40"/>
        <v>0</v>
      </c>
      <c r="BM129">
        <f t="shared" si="41"/>
        <v>0</v>
      </c>
      <c r="BN129">
        <f t="shared" si="42"/>
        <v>0</v>
      </c>
      <c r="BO129">
        <f t="shared" si="43"/>
        <v>0</v>
      </c>
      <c r="BP129">
        <f t="shared" si="44"/>
        <v>0</v>
      </c>
      <c r="BQ129">
        <f t="shared" si="45"/>
        <v>0</v>
      </c>
      <c r="BR129">
        <f t="shared" si="46"/>
        <v>0</v>
      </c>
      <c r="BS129">
        <f t="shared" si="47"/>
        <v>0</v>
      </c>
      <c r="BT129">
        <f t="shared" si="48"/>
        <v>0</v>
      </c>
      <c r="BU129" t="e">
        <f t="shared" si="49"/>
        <v>#DIV/0!</v>
      </c>
      <c r="BV129" t="e">
        <f t="shared" si="50"/>
        <v>#DIV/0!</v>
      </c>
      <c r="BX129" t="e">
        <f t="shared" si="51"/>
        <v>#DIV/0!</v>
      </c>
      <c r="BZ129" t="s">
        <v>173</v>
      </c>
      <c r="CA129" t="s">
        <v>173</v>
      </c>
      <c r="CB129" t="s">
        <v>173</v>
      </c>
      <c r="CC129" t="s">
        <v>173</v>
      </c>
      <c r="CD129" t="s">
        <v>173</v>
      </c>
      <c r="CE129" t="s">
        <v>173</v>
      </c>
      <c r="CF129">
        <v>4.3200000000000002E-2</v>
      </c>
      <c r="CG129">
        <v>0.2626</v>
      </c>
      <c r="CH129" t="s">
        <v>173</v>
      </c>
      <c r="CI129">
        <v>5.8799999999999998E-2</v>
      </c>
      <c r="CJ129" s="24">
        <v>0</v>
      </c>
      <c r="CK129">
        <v>0.22559999999999999</v>
      </c>
      <c r="CL129">
        <v>2.3300000000000001E-2</v>
      </c>
      <c r="CM129">
        <v>0.31569999999999998</v>
      </c>
      <c r="CN129">
        <v>0</v>
      </c>
      <c r="CO129" t="s">
        <v>173</v>
      </c>
      <c r="CP129" t="s">
        <v>173</v>
      </c>
      <c r="CQ129" t="s">
        <v>173</v>
      </c>
      <c r="CR129" t="s">
        <v>173</v>
      </c>
      <c r="CS129" t="s">
        <v>173</v>
      </c>
      <c r="CT129" t="s">
        <v>173</v>
      </c>
      <c r="CU129" t="s">
        <v>173</v>
      </c>
      <c r="CV129" t="s">
        <v>173</v>
      </c>
      <c r="CW129" t="s">
        <v>173</v>
      </c>
      <c r="CX129">
        <v>0</v>
      </c>
      <c r="CY129">
        <v>3.8399999999999997E-2</v>
      </c>
      <c r="CZ129">
        <v>5.3E-3</v>
      </c>
      <c r="DA129" t="s">
        <v>173</v>
      </c>
      <c r="DB129">
        <v>2.7199999999999998E-2</v>
      </c>
      <c r="DC129" s="24">
        <f t="shared" si="28"/>
        <v>5.8799999999999998E-2</v>
      </c>
      <c r="DD129" s="24">
        <f t="shared" si="29"/>
        <v>0.30580000000000002</v>
      </c>
      <c r="DE129" s="24">
        <f t="shared" si="31"/>
        <v>0.5413</v>
      </c>
      <c r="DG129" s="5" t="e">
        <f t="shared" si="30"/>
        <v>#DIV/0!</v>
      </c>
    </row>
    <row r="130" spans="1:111">
      <c r="A130" s="54">
        <v>459144</v>
      </c>
      <c r="B130" s="52" t="s">
        <v>298</v>
      </c>
      <c r="C130" s="52" t="s">
        <v>299</v>
      </c>
      <c r="D130" t="s">
        <v>300</v>
      </c>
      <c r="F130" s="52" t="s">
        <v>123</v>
      </c>
      <c r="G130" s="52">
        <v>26.08</v>
      </c>
      <c r="H130" s="52">
        <v>10.76</v>
      </c>
      <c r="I130" s="52">
        <v>0.84799999999999998</v>
      </c>
      <c r="K130" s="52">
        <v>13.79</v>
      </c>
      <c r="L130" s="52"/>
      <c r="M130" s="52">
        <v>3.12</v>
      </c>
      <c r="N130" s="52">
        <v>0.21</v>
      </c>
      <c r="O130" s="52">
        <v>30.62</v>
      </c>
      <c r="Q130" s="52">
        <v>0.27800000000000002</v>
      </c>
      <c r="T130" s="50"/>
      <c r="X130" s="52">
        <v>15.05</v>
      </c>
      <c r="AB130" s="52">
        <v>0.29099999999999998</v>
      </c>
      <c r="BG130">
        <f t="shared" si="35"/>
        <v>0</v>
      </c>
      <c r="BH130">
        <f t="shared" si="36"/>
        <v>0</v>
      </c>
      <c r="BI130">
        <f t="shared" si="37"/>
        <v>0</v>
      </c>
      <c r="BJ130">
        <f t="shared" si="38"/>
        <v>0</v>
      </c>
      <c r="BK130">
        <f t="shared" si="39"/>
        <v>0</v>
      </c>
      <c r="BL130">
        <f t="shared" si="40"/>
        <v>0</v>
      </c>
      <c r="BM130">
        <f t="shared" si="41"/>
        <v>0</v>
      </c>
      <c r="BN130">
        <f t="shared" si="42"/>
        <v>0</v>
      </c>
      <c r="BO130">
        <f t="shared" si="43"/>
        <v>0</v>
      </c>
      <c r="BP130">
        <f t="shared" si="44"/>
        <v>0</v>
      </c>
      <c r="BQ130">
        <f t="shared" si="45"/>
        <v>0</v>
      </c>
      <c r="BR130">
        <f t="shared" si="46"/>
        <v>0</v>
      </c>
      <c r="BS130">
        <f t="shared" si="47"/>
        <v>0</v>
      </c>
      <c r="BT130">
        <f t="shared" si="48"/>
        <v>0</v>
      </c>
      <c r="BU130" t="e">
        <f t="shared" si="49"/>
        <v>#DIV/0!</v>
      </c>
      <c r="BV130" t="e">
        <f t="shared" si="50"/>
        <v>#DIV/0!</v>
      </c>
      <c r="BX130" t="e">
        <f t="shared" si="51"/>
        <v>#DIV/0!</v>
      </c>
      <c r="BZ130" t="s">
        <v>173</v>
      </c>
      <c r="CA130" t="s">
        <v>173</v>
      </c>
      <c r="CB130" t="s">
        <v>173</v>
      </c>
      <c r="CC130" t="s">
        <v>173</v>
      </c>
      <c r="CD130" t="s">
        <v>173</v>
      </c>
      <c r="CE130" t="s">
        <v>173</v>
      </c>
      <c r="CF130">
        <v>4.3299999999999998E-2</v>
      </c>
      <c r="CG130">
        <v>0.27489999999999998</v>
      </c>
      <c r="CH130" t="s">
        <v>173</v>
      </c>
      <c r="CI130">
        <v>5.0500000000000003E-2</v>
      </c>
      <c r="CJ130" s="24">
        <v>0</v>
      </c>
      <c r="CK130">
        <v>0.24279999999999999</v>
      </c>
      <c r="CL130">
        <v>2.3400000000000001E-2</v>
      </c>
      <c r="CM130">
        <v>0.31169999999999998</v>
      </c>
      <c r="CN130">
        <v>0</v>
      </c>
      <c r="CO130" t="s">
        <v>173</v>
      </c>
      <c r="CP130" t="s">
        <v>173</v>
      </c>
      <c r="CQ130" t="s">
        <v>173</v>
      </c>
      <c r="CR130" t="s">
        <v>173</v>
      </c>
      <c r="CS130" t="s">
        <v>173</v>
      </c>
      <c r="CT130" t="s">
        <v>173</v>
      </c>
      <c r="CU130" t="s">
        <v>173</v>
      </c>
      <c r="CV130" t="s">
        <v>173</v>
      </c>
      <c r="CW130" t="s">
        <v>173</v>
      </c>
      <c r="CX130">
        <v>0</v>
      </c>
      <c r="CY130">
        <v>1.7600000000000001E-2</v>
      </c>
      <c r="CZ130">
        <v>5.1000000000000004E-3</v>
      </c>
      <c r="DA130" t="s">
        <v>173</v>
      </c>
      <c r="DB130">
        <v>3.0599999999999999E-2</v>
      </c>
      <c r="DC130" s="24">
        <f t="shared" si="28"/>
        <v>5.0500000000000003E-2</v>
      </c>
      <c r="DD130" s="24">
        <f t="shared" si="29"/>
        <v>0.31819999999999998</v>
      </c>
      <c r="DE130" s="24">
        <f t="shared" si="31"/>
        <v>0.55449999999999999</v>
      </c>
      <c r="DG130" s="5" t="e">
        <f t="shared" si="30"/>
        <v>#DIV/0!</v>
      </c>
    </row>
    <row r="131" spans="1:111">
      <c r="A131" s="54">
        <v>459144</v>
      </c>
      <c r="B131" s="52" t="s">
        <v>298</v>
      </c>
      <c r="C131" s="52" t="s">
        <v>299</v>
      </c>
      <c r="D131" t="s">
        <v>300</v>
      </c>
      <c r="F131" s="52" t="s">
        <v>123</v>
      </c>
      <c r="G131" s="52">
        <v>25.8</v>
      </c>
      <c r="H131" s="52">
        <v>10.72</v>
      </c>
      <c r="I131" s="52">
        <v>0.89</v>
      </c>
      <c r="K131" s="52">
        <v>14.1</v>
      </c>
      <c r="L131" s="52"/>
      <c r="M131" s="52">
        <v>3.02</v>
      </c>
      <c r="N131" s="52">
        <v>0.23</v>
      </c>
      <c r="O131" s="52">
        <v>30.51</v>
      </c>
      <c r="Q131" s="52">
        <v>0.23899999999999999</v>
      </c>
      <c r="T131" s="50"/>
      <c r="X131" s="52">
        <v>15.24</v>
      </c>
      <c r="AB131" s="52">
        <v>0.317</v>
      </c>
      <c r="BG131">
        <f t="shared" si="35"/>
        <v>0</v>
      </c>
      <c r="BH131">
        <f t="shared" si="36"/>
        <v>0</v>
      </c>
      <c r="BI131">
        <f t="shared" si="37"/>
        <v>0</v>
      </c>
      <c r="BJ131">
        <f t="shared" si="38"/>
        <v>0</v>
      </c>
      <c r="BK131">
        <f t="shared" si="39"/>
        <v>0</v>
      </c>
      <c r="BL131">
        <f t="shared" si="40"/>
        <v>0</v>
      </c>
      <c r="BM131">
        <f t="shared" si="41"/>
        <v>0</v>
      </c>
      <c r="BN131">
        <f t="shared" si="42"/>
        <v>0</v>
      </c>
      <c r="BO131">
        <f t="shared" si="43"/>
        <v>0</v>
      </c>
      <c r="BP131">
        <f t="shared" si="44"/>
        <v>0</v>
      </c>
      <c r="BQ131">
        <f t="shared" si="45"/>
        <v>0</v>
      </c>
      <c r="BR131">
        <f t="shared" si="46"/>
        <v>0</v>
      </c>
      <c r="BS131">
        <f t="shared" si="47"/>
        <v>0</v>
      </c>
      <c r="BT131">
        <f t="shared" si="48"/>
        <v>0</v>
      </c>
      <c r="BU131" t="e">
        <f t="shared" si="49"/>
        <v>#DIV/0!</v>
      </c>
      <c r="BV131" t="e">
        <f t="shared" si="50"/>
        <v>#DIV/0!</v>
      </c>
      <c r="BX131" t="e">
        <f t="shared" si="51"/>
        <v>#DIV/0!</v>
      </c>
      <c r="BZ131" t="s">
        <v>173</v>
      </c>
      <c r="CA131" t="s">
        <v>173</v>
      </c>
      <c r="CB131" t="s">
        <v>173</v>
      </c>
      <c r="CC131" t="s">
        <v>173</v>
      </c>
      <c r="CD131" t="s">
        <v>173</v>
      </c>
      <c r="CE131" t="s">
        <v>173</v>
      </c>
      <c r="CF131">
        <v>4.5600000000000002E-2</v>
      </c>
      <c r="CG131">
        <v>0.27750000000000002</v>
      </c>
      <c r="CH131" t="s">
        <v>173</v>
      </c>
      <c r="CI131">
        <v>5.5E-2</v>
      </c>
      <c r="CJ131" s="24">
        <v>0</v>
      </c>
      <c r="CK131">
        <v>0.25940000000000002</v>
      </c>
      <c r="CL131">
        <v>2.0199999999999999E-2</v>
      </c>
      <c r="CM131">
        <v>0.2918</v>
      </c>
      <c r="CN131">
        <v>0</v>
      </c>
      <c r="CO131" t="s">
        <v>173</v>
      </c>
      <c r="CP131" t="s">
        <v>173</v>
      </c>
      <c r="CQ131" t="s">
        <v>173</v>
      </c>
      <c r="CR131" t="s">
        <v>173</v>
      </c>
      <c r="CS131" t="s">
        <v>173</v>
      </c>
      <c r="CT131" t="s">
        <v>173</v>
      </c>
      <c r="CU131" t="s">
        <v>173</v>
      </c>
      <c r="CV131" t="s">
        <v>173</v>
      </c>
      <c r="CW131" t="s">
        <v>173</v>
      </c>
      <c r="CX131">
        <v>0</v>
      </c>
      <c r="CY131">
        <v>1.17E-2</v>
      </c>
      <c r="CZ131">
        <v>5.5999999999999999E-3</v>
      </c>
      <c r="DA131" t="s">
        <v>173</v>
      </c>
      <c r="DB131">
        <v>3.3300000000000003E-2</v>
      </c>
      <c r="DC131" s="24">
        <f t="shared" ref="DC131:DC194" si="52">CI131+CJ131</f>
        <v>5.5E-2</v>
      </c>
      <c r="DD131" s="24">
        <f t="shared" ref="DD131:DD194" si="53">CF131+CG131</f>
        <v>0.32310000000000005</v>
      </c>
      <c r="DE131" s="24">
        <f t="shared" si="31"/>
        <v>0.55120000000000002</v>
      </c>
      <c r="DG131" s="5" t="e">
        <f t="shared" ref="DG131:DG194" si="54">AG131/AV131</f>
        <v>#DIV/0!</v>
      </c>
    </row>
    <row r="132" spans="1:111">
      <c r="A132" s="47"/>
      <c r="B132" s="47"/>
      <c r="C132" s="47"/>
      <c r="D132" t="s">
        <v>300</v>
      </c>
      <c r="F132" s="47"/>
      <c r="G132" s="47"/>
      <c r="H132" s="47"/>
      <c r="I132" s="47"/>
      <c r="K132" s="47"/>
      <c r="L132" s="47"/>
      <c r="M132" s="47"/>
      <c r="N132" s="47"/>
      <c r="O132" s="47"/>
      <c r="Q132" s="47"/>
      <c r="T132" s="50"/>
      <c r="X132" s="47"/>
      <c r="AB132" s="47"/>
      <c r="BG132">
        <f t="shared" si="35"/>
        <v>0</v>
      </c>
      <c r="BH132">
        <f t="shared" si="36"/>
        <v>0</v>
      </c>
      <c r="BI132">
        <f t="shared" si="37"/>
        <v>0</v>
      </c>
      <c r="BJ132">
        <f t="shared" si="38"/>
        <v>0</v>
      </c>
      <c r="BK132">
        <f t="shared" si="39"/>
        <v>0</v>
      </c>
      <c r="BL132">
        <f t="shared" si="40"/>
        <v>0</v>
      </c>
      <c r="BM132">
        <f t="shared" si="41"/>
        <v>0</v>
      </c>
      <c r="BN132">
        <f t="shared" si="42"/>
        <v>0</v>
      </c>
      <c r="BO132">
        <f t="shared" si="43"/>
        <v>0</v>
      </c>
      <c r="BP132">
        <f t="shared" si="44"/>
        <v>0</v>
      </c>
      <c r="BQ132">
        <f t="shared" si="45"/>
        <v>0</v>
      </c>
      <c r="BR132">
        <f t="shared" si="46"/>
        <v>0</v>
      </c>
      <c r="BS132">
        <f t="shared" si="47"/>
        <v>0</v>
      </c>
      <c r="BT132">
        <f t="shared" si="48"/>
        <v>0</v>
      </c>
      <c r="BU132" t="e">
        <f t="shared" si="49"/>
        <v>#DIV/0!</v>
      </c>
      <c r="BV132" t="e">
        <f t="shared" si="50"/>
        <v>#DIV/0!</v>
      </c>
      <c r="BX132" t="e">
        <f t="shared" si="51"/>
        <v>#DIV/0!</v>
      </c>
      <c r="BZ132" t="e">
        <v>#DIV/0!</v>
      </c>
      <c r="CA132" t="e">
        <v>#DIV/0!</v>
      </c>
      <c r="CB132" t="e">
        <v>#DIV/0!</v>
      </c>
      <c r="CC132" t="e">
        <v>#DIV/0!</v>
      </c>
      <c r="CD132" t="e">
        <v>#DIV/0!</v>
      </c>
      <c r="CE132" t="e">
        <v>#DIV/0!</v>
      </c>
      <c r="CF132" t="e">
        <v>#DIV/0!</v>
      </c>
      <c r="CG132" t="e">
        <v>#DIV/0!</v>
      </c>
      <c r="CH132" t="e">
        <v>#DIV/0!</v>
      </c>
      <c r="CI132" t="e">
        <v>#DIV/0!</v>
      </c>
      <c r="CJ132" s="24">
        <v>0</v>
      </c>
      <c r="CK132" t="e">
        <v>#DIV/0!</v>
      </c>
      <c r="CL132" t="e">
        <v>#DIV/0!</v>
      </c>
      <c r="CM132" t="e">
        <v>#DIV/0!</v>
      </c>
      <c r="CN132" t="e">
        <v>#DIV/0!</v>
      </c>
      <c r="CO132" t="e">
        <v>#DIV/0!</v>
      </c>
      <c r="CP132" t="e">
        <v>#DIV/0!</v>
      </c>
      <c r="CQ132" t="e">
        <v>#DIV/0!</v>
      </c>
      <c r="CR132" t="e">
        <v>#DIV/0!</v>
      </c>
      <c r="CS132" t="e">
        <v>#DIV/0!</v>
      </c>
      <c r="CT132" t="e">
        <v>#DIV/0!</v>
      </c>
      <c r="CU132" t="e">
        <v>#DIV/0!</v>
      </c>
      <c r="CV132" t="e">
        <v>#DIV/0!</v>
      </c>
      <c r="CW132" t="e">
        <v>#DIV/0!</v>
      </c>
      <c r="CX132">
        <v>0</v>
      </c>
      <c r="CY132" t="e">
        <v>#DIV/0!</v>
      </c>
      <c r="CZ132" t="e">
        <v>#DIV/0!</v>
      </c>
      <c r="DA132" t="e">
        <v>#DIV/0!</v>
      </c>
      <c r="DB132" t="e">
        <v>#DIV/0!</v>
      </c>
      <c r="DC132" s="24" t="e">
        <f t="shared" si="52"/>
        <v>#DIV/0!</v>
      </c>
      <c r="DD132" s="24" t="e">
        <f t="shared" si="53"/>
        <v>#DIV/0!</v>
      </c>
      <c r="DE132" s="24" t="e">
        <f t="shared" ref="DE132:DE195" si="55">CK132+CM132+CN132</f>
        <v>#DIV/0!</v>
      </c>
      <c r="DG132" s="5" t="e">
        <f t="shared" si="54"/>
        <v>#DIV/0!</v>
      </c>
    </row>
    <row r="133" spans="1:111">
      <c r="A133" s="54">
        <v>459144</v>
      </c>
      <c r="B133" s="52" t="s">
        <v>298</v>
      </c>
      <c r="C133" s="52" t="s">
        <v>299</v>
      </c>
      <c r="D133" t="s">
        <v>300</v>
      </c>
      <c r="F133" s="52" t="s">
        <v>122</v>
      </c>
      <c r="G133" s="52">
        <v>25.41</v>
      </c>
      <c r="H133" s="52">
        <v>10.58</v>
      </c>
      <c r="I133" s="52">
        <v>0.98</v>
      </c>
      <c r="K133" s="52">
        <v>13.88</v>
      </c>
      <c r="L133" s="52"/>
      <c r="M133" s="52">
        <v>3.04</v>
      </c>
      <c r="N133" s="52">
        <v>0.19900000000000001</v>
      </c>
      <c r="O133" s="52">
        <v>30.46</v>
      </c>
      <c r="Q133" s="52">
        <v>0.28000000000000003</v>
      </c>
      <c r="T133" s="50"/>
      <c r="X133" s="52">
        <v>15.83</v>
      </c>
      <c r="AB133" s="52">
        <v>0.33300000000000002</v>
      </c>
      <c r="BG133">
        <f t="shared" si="35"/>
        <v>0</v>
      </c>
      <c r="BH133">
        <f t="shared" si="36"/>
        <v>0</v>
      </c>
      <c r="BI133">
        <f t="shared" si="37"/>
        <v>0</v>
      </c>
      <c r="BJ133">
        <f t="shared" si="38"/>
        <v>0</v>
      </c>
      <c r="BK133">
        <f t="shared" si="39"/>
        <v>0</v>
      </c>
      <c r="BL133">
        <f t="shared" si="40"/>
        <v>0</v>
      </c>
      <c r="BM133">
        <f t="shared" si="41"/>
        <v>0</v>
      </c>
      <c r="BN133">
        <f t="shared" si="42"/>
        <v>0</v>
      </c>
      <c r="BO133">
        <f t="shared" si="43"/>
        <v>0</v>
      </c>
      <c r="BP133">
        <f t="shared" si="44"/>
        <v>0</v>
      </c>
      <c r="BQ133">
        <f t="shared" si="45"/>
        <v>0</v>
      </c>
      <c r="BR133">
        <f t="shared" si="46"/>
        <v>0</v>
      </c>
      <c r="BS133">
        <f t="shared" si="47"/>
        <v>0</v>
      </c>
      <c r="BT133">
        <f t="shared" si="48"/>
        <v>0</v>
      </c>
      <c r="BU133" t="e">
        <f t="shared" si="49"/>
        <v>#DIV/0!</v>
      </c>
      <c r="BV133" t="e">
        <f t="shared" si="50"/>
        <v>#DIV/0!</v>
      </c>
      <c r="BX133" t="e">
        <f t="shared" si="51"/>
        <v>#DIV/0!</v>
      </c>
      <c r="BZ133" t="s">
        <v>173</v>
      </c>
      <c r="CA133" t="s">
        <v>173</v>
      </c>
      <c r="CB133" t="s">
        <v>173</v>
      </c>
      <c r="CC133" t="s">
        <v>173</v>
      </c>
      <c r="CD133" t="s">
        <v>173</v>
      </c>
      <c r="CE133" t="s">
        <v>173</v>
      </c>
      <c r="CF133">
        <v>5.04E-2</v>
      </c>
      <c r="CG133">
        <v>0.28620000000000001</v>
      </c>
      <c r="CH133" t="s">
        <v>173</v>
      </c>
      <c r="CI133">
        <v>5.5399999999999998E-2</v>
      </c>
      <c r="CJ133" s="24">
        <v>0</v>
      </c>
      <c r="CK133">
        <v>0.23250000000000001</v>
      </c>
      <c r="CL133">
        <v>2.3699999999999999E-2</v>
      </c>
      <c r="CM133">
        <v>0.30359999999999998</v>
      </c>
      <c r="CN133">
        <v>0</v>
      </c>
      <c r="CO133" t="s">
        <v>173</v>
      </c>
      <c r="CP133" t="s">
        <v>173</v>
      </c>
      <c r="CQ133" t="s">
        <v>173</v>
      </c>
      <c r="CR133" t="s">
        <v>173</v>
      </c>
      <c r="CS133" t="s">
        <v>173</v>
      </c>
      <c r="CT133" t="s">
        <v>173</v>
      </c>
      <c r="CU133" t="s">
        <v>173</v>
      </c>
      <c r="CV133" t="s">
        <v>173</v>
      </c>
      <c r="CW133" t="s">
        <v>173</v>
      </c>
      <c r="CX133">
        <v>0</v>
      </c>
      <c r="CY133">
        <v>1.29E-2</v>
      </c>
      <c r="CZ133">
        <v>4.8999999999999998E-3</v>
      </c>
      <c r="DA133" t="s">
        <v>173</v>
      </c>
      <c r="DB133">
        <v>3.0599999999999999E-2</v>
      </c>
      <c r="DC133" s="24">
        <f t="shared" si="52"/>
        <v>5.5399999999999998E-2</v>
      </c>
      <c r="DD133" s="24">
        <f t="shared" si="53"/>
        <v>0.33660000000000001</v>
      </c>
      <c r="DE133" s="24">
        <f t="shared" si="55"/>
        <v>0.53610000000000002</v>
      </c>
      <c r="DG133" s="5" t="e">
        <f t="shared" si="54"/>
        <v>#DIV/0!</v>
      </c>
    </row>
    <row r="134" spans="1:111">
      <c r="A134" s="54">
        <v>459144</v>
      </c>
      <c r="B134" s="52" t="s">
        <v>298</v>
      </c>
      <c r="C134" s="52" t="s">
        <v>299</v>
      </c>
      <c r="D134" t="s">
        <v>300</v>
      </c>
      <c r="F134" s="52" t="s">
        <v>122</v>
      </c>
      <c r="G134" s="52">
        <v>25.07</v>
      </c>
      <c r="H134" s="52">
        <v>10.68</v>
      </c>
      <c r="I134" s="52">
        <v>0.98299999999999998</v>
      </c>
      <c r="K134" s="52">
        <v>13.65</v>
      </c>
      <c r="L134" s="52"/>
      <c r="M134" s="52">
        <v>2.99</v>
      </c>
      <c r="N134" s="52">
        <v>0.17699999999999999</v>
      </c>
      <c r="O134" s="52">
        <v>30.54</v>
      </c>
      <c r="Q134" s="52">
        <v>0.28599999999999998</v>
      </c>
      <c r="T134" s="50"/>
      <c r="X134" s="52">
        <v>15.87</v>
      </c>
      <c r="AB134" s="52">
        <v>0.32600000000000001</v>
      </c>
      <c r="BG134">
        <f t="shared" si="35"/>
        <v>0</v>
      </c>
      <c r="BH134">
        <f t="shared" si="36"/>
        <v>0</v>
      </c>
      <c r="BI134">
        <f t="shared" si="37"/>
        <v>0</v>
      </c>
      <c r="BJ134">
        <f t="shared" si="38"/>
        <v>0</v>
      </c>
      <c r="BK134">
        <f t="shared" si="39"/>
        <v>0</v>
      </c>
      <c r="BL134">
        <f t="shared" si="40"/>
        <v>0</v>
      </c>
      <c r="BM134">
        <f t="shared" si="41"/>
        <v>0</v>
      </c>
      <c r="BN134">
        <f t="shared" si="42"/>
        <v>0</v>
      </c>
      <c r="BO134">
        <f t="shared" si="43"/>
        <v>0</v>
      </c>
      <c r="BP134">
        <f t="shared" si="44"/>
        <v>0</v>
      </c>
      <c r="BQ134">
        <f t="shared" si="45"/>
        <v>0</v>
      </c>
      <c r="BR134">
        <f t="shared" si="46"/>
        <v>0</v>
      </c>
      <c r="BS134">
        <f t="shared" si="47"/>
        <v>0</v>
      </c>
      <c r="BT134">
        <f t="shared" si="48"/>
        <v>0</v>
      </c>
      <c r="BU134" t="e">
        <f t="shared" si="49"/>
        <v>#DIV/0!</v>
      </c>
      <c r="BV134" t="e">
        <f t="shared" si="50"/>
        <v>#DIV/0!</v>
      </c>
      <c r="BX134" t="e">
        <f t="shared" si="51"/>
        <v>#DIV/0!</v>
      </c>
      <c r="BZ134" t="s">
        <v>173</v>
      </c>
      <c r="CA134" t="s">
        <v>173</v>
      </c>
      <c r="CB134" t="s">
        <v>173</v>
      </c>
      <c r="CC134" t="s">
        <v>173</v>
      </c>
      <c r="CD134" t="s">
        <v>173</v>
      </c>
      <c r="CE134" t="s">
        <v>173</v>
      </c>
      <c r="CF134">
        <v>5.0799999999999998E-2</v>
      </c>
      <c r="CG134">
        <v>0.2883</v>
      </c>
      <c r="CH134" t="s">
        <v>173</v>
      </c>
      <c r="CI134">
        <v>6.2600000000000003E-2</v>
      </c>
      <c r="CJ134" s="24">
        <v>0</v>
      </c>
      <c r="CK134">
        <v>0.2107</v>
      </c>
      <c r="CL134">
        <v>2.4299999999999999E-2</v>
      </c>
      <c r="CM134">
        <v>0.31950000000000001</v>
      </c>
      <c r="CN134">
        <v>0</v>
      </c>
      <c r="CO134" t="s">
        <v>173</v>
      </c>
      <c r="CP134" t="s">
        <v>173</v>
      </c>
      <c r="CQ134" t="s">
        <v>173</v>
      </c>
      <c r="CR134" t="s">
        <v>173</v>
      </c>
      <c r="CS134" t="s">
        <v>173</v>
      </c>
      <c r="CT134" t="s">
        <v>173</v>
      </c>
      <c r="CU134" t="s">
        <v>173</v>
      </c>
      <c r="CV134" t="s">
        <v>173</v>
      </c>
      <c r="CW134" t="s">
        <v>173</v>
      </c>
      <c r="CX134">
        <v>0</v>
      </c>
      <c r="CY134">
        <v>1.5800000000000002E-2</v>
      </c>
      <c r="CZ134">
        <v>4.4000000000000003E-3</v>
      </c>
      <c r="DA134" t="s">
        <v>173</v>
      </c>
      <c r="DB134">
        <v>2.3699999999999999E-2</v>
      </c>
      <c r="DC134" s="24">
        <f t="shared" si="52"/>
        <v>6.2600000000000003E-2</v>
      </c>
      <c r="DD134" s="24">
        <f t="shared" si="53"/>
        <v>0.33910000000000001</v>
      </c>
      <c r="DE134" s="24">
        <f t="shared" si="55"/>
        <v>0.5302</v>
      </c>
      <c r="DG134" s="5" t="e">
        <f t="shared" si="54"/>
        <v>#DIV/0!</v>
      </c>
    </row>
    <row r="135" spans="1:111">
      <c r="A135" s="54">
        <v>459144</v>
      </c>
      <c r="B135" s="52" t="s">
        <v>298</v>
      </c>
      <c r="C135" s="52" t="s">
        <v>299</v>
      </c>
      <c r="D135" t="s">
        <v>300</v>
      </c>
      <c r="F135" s="52" t="s">
        <v>123</v>
      </c>
      <c r="G135" s="52">
        <v>24.5</v>
      </c>
      <c r="H135" s="52">
        <v>10.36</v>
      </c>
      <c r="I135" s="52">
        <v>1.514</v>
      </c>
      <c r="K135" s="52">
        <v>13.78</v>
      </c>
      <c r="L135" s="52"/>
      <c r="M135" s="52">
        <v>2.89</v>
      </c>
      <c r="N135" s="52">
        <v>0.14299999999999999</v>
      </c>
      <c r="O135" s="52">
        <v>30.72</v>
      </c>
      <c r="Q135" s="52">
        <v>0.17899999999999999</v>
      </c>
      <c r="T135" s="50"/>
      <c r="X135" s="52">
        <v>16.71</v>
      </c>
      <c r="AB135" s="52">
        <v>0.32200000000000001</v>
      </c>
      <c r="BG135">
        <f t="shared" si="35"/>
        <v>0</v>
      </c>
      <c r="BH135">
        <f t="shared" si="36"/>
        <v>0</v>
      </c>
      <c r="BI135">
        <f t="shared" si="37"/>
        <v>0</v>
      </c>
      <c r="BJ135">
        <f t="shared" si="38"/>
        <v>0</v>
      </c>
      <c r="BK135">
        <f t="shared" si="39"/>
        <v>0</v>
      </c>
      <c r="BL135">
        <f t="shared" si="40"/>
        <v>0</v>
      </c>
      <c r="BM135">
        <f t="shared" si="41"/>
        <v>0</v>
      </c>
      <c r="BN135">
        <f t="shared" si="42"/>
        <v>0</v>
      </c>
      <c r="BO135">
        <f t="shared" si="43"/>
        <v>0</v>
      </c>
      <c r="BP135">
        <f t="shared" si="44"/>
        <v>0</v>
      </c>
      <c r="BQ135">
        <f t="shared" si="45"/>
        <v>0</v>
      </c>
      <c r="BR135">
        <f t="shared" si="46"/>
        <v>0</v>
      </c>
      <c r="BS135">
        <f t="shared" si="47"/>
        <v>0</v>
      </c>
      <c r="BT135">
        <f t="shared" si="48"/>
        <v>0</v>
      </c>
      <c r="BU135" t="e">
        <f t="shared" si="49"/>
        <v>#DIV/0!</v>
      </c>
      <c r="BV135" t="e">
        <f t="shared" si="50"/>
        <v>#DIV/0!</v>
      </c>
      <c r="BX135" t="e">
        <f t="shared" si="51"/>
        <v>#DIV/0!</v>
      </c>
      <c r="BZ135" t="s">
        <v>173</v>
      </c>
      <c r="CA135" t="s">
        <v>173</v>
      </c>
      <c r="CB135" t="s">
        <v>173</v>
      </c>
      <c r="CC135" t="s">
        <v>173</v>
      </c>
      <c r="CD135" t="s">
        <v>173</v>
      </c>
      <c r="CE135" t="s">
        <v>173</v>
      </c>
      <c r="CF135">
        <v>7.8100000000000003E-2</v>
      </c>
      <c r="CG135">
        <v>0.27839999999999998</v>
      </c>
      <c r="CH135" t="s">
        <v>173</v>
      </c>
      <c r="CI135">
        <v>7.1900000000000006E-2</v>
      </c>
      <c r="CJ135" s="24">
        <v>0</v>
      </c>
      <c r="CK135">
        <v>0.21029999999999999</v>
      </c>
      <c r="CL135">
        <v>1.52E-2</v>
      </c>
      <c r="CM135">
        <v>0.29749999999999999</v>
      </c>
      <c r="CN135">
        <v>0</v>
      </c>
      <c r="CO135" t="s">
        <v>173</v>
      </c>
      <c r="CP135" t="s">
        <v>173</v>
      </c>
      <c r="CQ135" t="s">
        <v>173</v>
      </c>
      <c r="CR135" t="s">
        <v>173</v>
      </c>
      <c r="CS135" t="s">
        <v>173</v>
      </c>
      <c r="CT135" t="s">
        <v>173</v>
      </c>
      <c r="CU135" t="s">
        <v>173</v>
      </c>
      <c r="CV135" t="s">
        <v>173</v>
      </c>
      <c r="CW135" t="s">
        <v>173</v>
      </c>
      <c r="CX135">
        <v>0</v>
      </c>
      <c r="CY135">
        <v>1.8800000000000001E-2</v>
      </c>
      <c r="CZ135">
        <v>3.5000000000000001E-3</v>
      </c>
      <c r="DA135" t="s">
        <v>173</v>
      </c>
      <c r="DB135">
        <v>2.6499999999999999E-2</v>
      </c>
      <c r="DC135" s="24">
        <f t="shared" si="52"/>
        <v>7.1900000000000006E-2</v>
      </c>
      <c r="DD135" s="24">
        <f t="shared" si="53"/>
        <v>0.35649999999999998</v>
      </c>
      <c r="DE135" s="24">
        <f t="shared" si="55"/>
        <v>0.50780000000000003</v>
      </c>
      <c r="DG135" s="5" t="e">
        <f t="shared" si="54"/>
        <v>#DIV/0!</v>
      </c>
    </row>
    <row r="136" spans="1:111">
      <c r="A136" s="47"/>
      <c r="B136" s="47"/>
      <c r="C136" s="47"/>
      <c r="D136" t="s">
        <v>300</v>
      </c>
      <c r="F136" s="47"/>
      <c r="G136" s="47"/>
      <c r="H136" s="47"/>
      <c r="I136" s="47"/>
      <c r="K136" s="47"/>
      <c r="L136" s="47"/>
      <c r="M136" s="47"/>
      <c r="N136" s="47"/>
      <c r="O136" s="47"/>
      <c r="Q136" s="47"/>
      <c r="T136" s="50"/>
      <c r="X136" s="47"/>
      <c r="AB136" s="47"/>
      <c r="BG136">
        <f t="shared" si="35"/>
        <v>0</v>
      </c>
      <c r="BH136">
        <f t="shared" si="36"/>
        <v>0</v>
      </c>
      <c r="BI136">
        <f t="shared" si="37"/>
        <v>0</v>
      </c>
      <c r="BJ136">
        <f t="shared" si="38"/>
        <v>0</v>
      </c>
      <c r="BK136">
        <f t="shared" si="39"/>
        <v>0</v>
      </c>
      <c r="BL136">
        <f t="shared" si="40"/>
        <v>0</v>
      </c>
      <c r="BM136">
        <f t="shared" si="41"/>
        <v>0</v>
      </c>
      <c r="BN136">
        <f t="shared" si="42"/>
        <v>0</v>
      </c>
      <c r="BO136">
        <f t="shared" si="43"/>
        <v>0</v>
      </c>
      <c r="BP136">
        <f t="shared" si="44"/>
        <v>0</v>
      </c>
      <c r="BQ136">
        <f t="shared" si="45"/>
        <v>0</v>
      </c>
      <c r="BR136">
        <f t="shared" si="46"/>
        <v>0</v>
      </c>
      <c r="BS136">
        <f t="shared" si="47"/>
        <v>0</v>
      </c>
      <c r="BT136">
        <f t="shared" si="48"/>
        <v>0</v>
      </c>
      <c r="BU136" t="e">
        <f t="shared" si="49"/>
        <v>#DIV/0!</v>
      </c>
      <c r="BV136" t="e">
        <f t="shared" si="50"/>
        <v>#DIV/0!</v>
      </c>
      <c r="BX136" t="e">
        <f t="shared" si="51"/>
        <v>#DIV/0!</v>
      </c>
      <c r="BZ136" t="e">
        <v>#DIV/0!</v>
      </c>
      <c r="CA136" t="e">
        <v>#DIV/0!</v>
      </c>
      <c r="CB136" t="e">
        <v>#DIV/0!</v>
      </c>
      <c r="CC136" t="e">
        <v>#DIV/0!</v>
      </c>
      <c r="CD136" t="e">
        <v>#DIV/0!</v>
      </c>
      <c r="CE136" t="e">
        <v>#DIV/0!</v>
      </c>
      <c r="CF136" t="e">
        <v>#DIV/0!</v>
      </c>
      <c r="CG136" t="e">
        <v>#DIV/0!</v>
      </c>
      <c r="CH136" t="e">
        <v>#DIV/0!</v>
      </c>
      <c r="CI136" t="e">
        <v>#DIV/0!</v>
      </c>
      <c r="CJ136" s="24">
        <v>0</v>
      </c>
      <c r="CK136" t="e">
        <v>#DIV/0!</v>
      </c>
      <c r="CL136" t="e">
        <v>#DIV/0!</v>
      </c>
      <c r="CM136" t="e">
        <v>#DIV/0!</v>
      </c>
      <c r="CN136" t="e">
        <v>#DIV/0!</v>
      </c>
      <c r="CO136" t="e">
        <v>#DIV/0!</v>
      </c>
      <c r="CP136" t="e">
        <v>#DIV/0!</v>
      </c>
      <c r="CQ136" t="e">
        <v>#DIV/0!</v>
      </c>
      <c r="CR136" t="e">
        <v>#DIV/0!</v>
      </c>
      <c r="CS136" t="e">
        <v>#DIV/0!</v>
      </c>
      <c r="CT136" t="e">
        <v>#DIV/0!</v>
      </c>
      <c r="CU136" t="e">
        <v>#DIV/0!</v>
      </c>
      <c r="CV136" t="e">
        <v>#DIV/0!</v>
      </c>
      <c r="CW136" t="e">
        <v>#DIV/0!</v>
      </c>
      <c r="CX136">
        <v>0</v>
      </c>
      <c r="CY136" t="e">
        <v>#DIV/0!</v>
      </c>
      <c r="CZ136" t="e">
        <v>#DIV/0!</v>
      </c>
      <c r="DA136" t="e">
        <v>#DIV/0!</v>
      </c>
      <c r="DB136" t="e">
        <v>#DIV/0!</v>
      </c>
      <c r="DC136" s="24" t="e">
        <f t="shared" si="52"/>
        <v>#DIV/0!</v>
      </c>
      <c r="DD136" s="24" t="e">
        <f t="shared" si="53"/>
        <v>#DIV/0!</v>
      </c>
      <c r="DE136" s="24" t="e">
        <f t="shared" si="55"/>
        <v>#DIV/0!</v>
      </c>
      <c r="DG136" s="5" t="e">
        <f t="shared" si="54"/>
        <v>#DIV/0!</v>
      </c>
    </row>
    <row r="137" spans="1:111">
      <c r="A137" s="54">
        <v>459144</v>
      </c>
      <c r="B137" s="52" t="s">
        <v>298</v>
      </c>
      <c r="C137" s="52" t="s">
        <v>299</v>
      </c>
      <c r="D137" t="s">
        <v>300</v>
      </c>
      <c r="F137" s="52" t="s">
        <v>122</v>
      </c>
      <c r="G137" s="52">
        <v>25.21</v>
      </c>
      <c r="H137" s="52">
        <v>10.62</v>
      </c>
      <c r="I137" s="52">
        <v>1.0049999999999999</v>
      </c>
      <c r="K137" s="52">
        <v>14.12</v>
      </c>
      <c r="L137" s="52"/>
      <c r="M137" s="52">
        <v>3.03</v>
      </c>
      <c r="N137" s="52">
        <v>0.21099999999999999</v>
      </c>
      <c r="O137" s="52">
        <v>30.52</v>
      </c>
      <c r="Q137" s="52">
        <v>0.33400000000000002</v>
      </c>
      <c r="T137" s="50"/>
      <c r="X137" s="52">
        <v>15.8</v>
      </c>
      <c r="AB137" s="52">
        <v>0.32</v>
      </c>
      <c r="BG137">
        <f t="shared" si="35"/>
        <v>0</v>
      </c>
      <c r="BH137">
        <f t="shared" si="36"/>
        <v>0</v>
      </c>
      <c r="BI137">
        <f t="shared" si="37"/>
        <v>0</v>
      </c>
      <c r="BJ137">
        <f t="shared" si="38"/>
        <v>0</v>
      </c>
      <c r="BK137">
        <f t="shared" si="39"/>
        <v>0</v>
      </c>
      <c r="BL137">
        <f t="shared" si="40"/>
        <v>0</v>
      </c>
      <c r="BM137">
        <f t="shared" si="41"/>
        <v>0</v>
      </c>
      <c r="BN137">
        <f t="shared" si="42"/>
        <v>0</v>
      </c>
      <c r="BO137">
        <f t="shared" si="43"/>
        <v>0</v>
      </c>
      <c r="BP137">
        <f t="shared" si="44"/>
        <v>0</v>
      </c>
      <c r="BQ137">
        <f t="shared" si="45"/>
        <v>0</v>
      </c>
      <c r="BR137">
        <f t="shared" si="46"/>
        <v>0</v>
      </c>
      <c r="BS137">
        <f t="shared" si="47"/>
        <v>0</v>
      </c>
      <c r="BT137">
        <f t="shared" si="48"/>
        <v>0</v>
      </c>
      <c r="BU137" t="e">
        <f t="shared" si="49"/>
        <v>#DIV/0!</v>
      </c>
      <c r="BV137" t="e">
        <f t="shared" si="50"/>
        <v>#DIV/0!</v>
      </c>
      <c r="BX137" t="e">
        <f t="shared" si="51"/>
        <v>#DIV/0!</v>
      </c>
      <c r="BZ137" t="s">
        <v>173</v>
      </c>
      <c r="CA137" t="s">
        <v>173</v>
      </c>
      <c r="CB137" t="s">
        <v>173</v>
      </c>
      <c r="CC137" t="s">
        <v>173</v>
      </c>
      <c r="CD137" t="s">
        <v>173</v>
      </c>
      <c r="CE137" t="s">
        <v>173</v>
      </c>
      <c r="CF137">
        <v>5.1499999999999997E-2</v>
      </c>
      <c r="CG137">
        <v>0.28360000000000002</v>
      </c>
      <c r="CH137" t="s">
        <v>173</v>
      </c>
      <c r="CI137">
        <v>6.8000000000000005E-2</v>
      </c>
      <c r="CJ137" s="24">
        <v>0</v>
      </c>
      <c r="CK137">
        <v>0.1925</v>
      </c>
      <c r="CL137">
        <v>2.8199999999999999E-2</v>
      </c>
      <c r="CM137">
        <v>0.31030000000000002</v>
      </c>
      <c r="CN137">
        <v>0</v>
      </c>
      <c r="CO137" t="s">
        <v>173</v>
      </c>
      <c r="CP137" t="s">
        <v>173</v>
      </c>
      <c r="CQ137" t="s">
        <v>173</v>
      </c>
      <c r="CR137" t="s">
        <v>173</v>
      </c>
      <c r="CS137" t="s">
        <v>173</v>
      </c>
      <c r="CT137" t="s">
        <v>173</v>
      </c>
      <c r="CU137" t="s">
        <v>173</v>
      </c>
      <c r="CV137" t="s">
        <v>173</v>
      </c>
      <c r="CW137" t="s">
        <v>173</v>
      </c>
      <c r="CX137">
        <v>0</v>
      </c>
      <c r="CY137">
        <v>3.3099999999999997E-2</v>
      </c>
      <c r="CZ137">
        <v>5.1999999999999998E-3</v>
      </c>
      <c r="DA137" t="s">
        <v>173</v>
      </c>
      <c r="DB137">
        <v>2.76E-2</v>
      </c>
      <c r="DC137" s="24">
        <f t="shared" si="52"/>
        <v>6.8000000000000005E-2</v>
      </c>
      <c r="DD137" s="24">
        <f t="shared" si="53"/>
        <v>0.33510000000000001</v>
      </c>
      <c r="DE137" s="24">
        <f t="shared" si="55"/>
        <v>0.50280000000000002</v>
      </c>
      <c r="DG137" s="5" t="e">
        <f t="shared" si="54"/>
        <v>#DIV/0!</v>
      </c>
    </row>
    <row r="138" spans="1:111">
      <c r="A138" s="54">
        <v>459144</v>
      </c>
      <c r="B138" s="52" t="s">
        <v>298</v>
      </c>
      <c r="C138" s="52" t="s">
        <v>299</v>
      </c>
      <c r="D138" t="s">
        <v>300</v>
      </c>
      <c r="F138" s="52" t="s">
        <v>123</v>
      </c>
      <c r="G138" s="52">
        <v>24.98</v>
      </c>
      <c r="H138" s="52">
        <v>10.71</v>
      </c>
      <c r="I138" s="52">
        <v>0.99399999999999999</v>
      </c>
      <c r="K138" s="52">
        <v>13.81</v>
      </c>
      <c r="L138" s="52"/>
      <c r="M138" s="52">
        <v>2.99</v>
      </c>
      <c r="N138" s="52">
        <v>0.19</v>
      </c>
      <c r="O138" s="52">
        <v>30.53</v>
      </c>
      <c r="Q138" s="52">
        <v>0.27500000000000002</v>
      </c>
      <c r="T138" s="50"/>
      <c r="X138" s="52">
        <v>15.85</v>
      </c>
      <c r="AB138" s="52">
        <v>0.30499999999999999</v>
      </c>
      <c r="BG138">
        <f t="shared" si="35"/>
        <v>0</v>
      </c>
      <c r="BH138">
        <f t="shared" si="36"/>
        <v>0</v>
      </c>
      <c r="BI138">
        <f t="shared" si="37"/>
        <v>0</v>
      </c>
      <c r="BJ138">
        <f t="shared" si="38"/>
        <v>0</v>
      </c>
      <c r="BK138">
        <f t="shared" si="39"/>
        <v>0</v>
      </c>
      <c r="BL138">
        <f t="shared" si="40"/>
        <v>0</v>
      </c>
      <c r="BM138">
        <f t="shared" si="41"/>
        <v>0</v>
      </c>
      <c r="BN138">
        <f t="shared" si="42"/>
        <v>0</v>
      </c>
      <c r="BO138">
        <f t="shared" si="43"/>
        <v>0</v>
      </c>
      <c r="BP138">
        <f t="shared" si="44"/>
        <v>0</v>
      </c>
      <c r="BQ138">
        <f t="shared" si="45"/>
        <v>0</v>
      </c>
      <c r="BR138">
        <f t="shared" si="46"/>
        <v>0</v>
      </c>
      <c r="BS138">
        <f t="shared" si="47"/>
        <v>0</v>
      </c>
      <c r="BT138">
        <f t="shared" si="48"/>
        <v>0</v>
      </c>
      <c r="BU138" t="e">
        <f t="shared" si="49"/>
        <v>#DIV/0!</v>
      </c>
      <c r="BV138" t="e">
        <f t="shared" si="50"/>
        <v>#DIV/0!</v>
      </c>
      <c r="BX138" t="e">
        <f t="shared" si="51"/>
        <v>#DIV/0!</v>
      </c>
      <c r="BZ138" t="s">
        <v>173</v>
      </c>
      <c r="CA138" t="s">
        <v>173</v>
      </c>
      <c r="CB138" t="s">
        <v>173</v>
      </c>
      <c r="CC138" t="s">
        <v>173</v>
      </c>
      <c r="CD138" t="s">
        <v>173</v>
      </c>
      <c r="CE138" t="s">
        <v>173</v>
      </c>
      <c r="CF138">
        <v>5.1299999999999998E-2</v>
      </c>
      <c r="CG138">
        <v>0.28710000000000002</v>
      </c>
      <c r="CH138" t="s">
        <v>173</v>
      </c>
      <c r="CI138">
        <v>6.7799999999999999E-2</v>
      </c>
      <c r="CJ138" s="24">
        <v>0</v>
      </c>
      <c r="CK138">
        <v>0.20749999999999999</v>
      </c>
      <c r="CL138">
        <v>2.3300000000000001E-2</v>
      </c>
      <c r="CM138">
        <v>0.31590000000000001</v>
      </c>
      <c r="CN138">
        <v>0</v>
      </c>
      <c r="CO138" t="s">
        <v>173</v>
      </c>
      <c r="CP138" t="s">
        <v>173</v>
      </c>
      <c r="CQ138" t="s">
        <v>173</v>
      </c>
      <c r="CR138" t="s">
        <v>173</v>
      </c>
      <c r="CS138" t="s">
        <v>173</v>
      </c>
      <c r="CT138" t="s">
        <v>173</v>
      </c>
      <c r="CU138" t="s">
        <v>173</v>
      </c>
      <c r="CV138" t="s">
        <v>173</v>
      </c>
      <c r="CW138" t="s">
        <v>173</v>
      </c>
      <c r="CX138">
        <v>0</v>
      </c>
      <c r="CY138">
        <v>1.7500000000000002E-2</v>
      </c>
      <c r="CZ138">
        <v>4.7000000000000002E-3</v>
      </c>
      <c r="DA138" t="s">
        <v>173</v>
      </c>
      <c r="DB138">
        <v>2.4799999999999999E-2</v>
      </c>
      <c r="DC138" s="24">
        <f t="shared" si="52"/>
        <v>6.7799999999999999E-2</v>
      </c>
      <c r="DD138" s="24">
        <f t="shared" si="53"/>
        <v>0.33840000000000003</v>
      </c>
      <c r="DE138" s="24">
        <f t="shared" si="55"/>
        <v>0.52339999999999998</v>
      </c>
      <c r="DG138" s="5" t="e">
        <f t="shared" si="54"/>
        <v>#DIV/0!</v>
      </c>
    </row>
    <row r="139" spans="1:111">
      <c r="A139" s="47"/>
      <c r="B139" s="47"/>
      <c r="C139" s="47"/>
      <c r="D139" t="s">
        <v>300</v>
      </c>
      <c r="F139" s="47"/>
      <c r="G139" s="47"/>
      <c r="H139" s="47"/>
      <c r="I139" s="47"/>
      <c r="K139" s="47"/>
      <c r="L139" s="47"/>
      <c r="M139" s="47"/>
      <c r="N139" s="47"/>
      <c r="O139" s="47"/>
      <c r="Q139" s="47"/>
      <c r="T139" s="50"/>
      <c r="X139" s="47"/>
      <c r="AB139" s="47"/>
      <c r="BG139">
        <f t="shared" si="35"/>
        <v>0</v>
      </c>
      <c r="BH139">
        <f t="shared" si="36"/>
        <v>0</v>
      </c>
      <c r="BI139">
        <f t="shared" si="37"/>
        <v>0</v>
      </c>
      <c r="BJ139">
        <f t="shared" si="38"/>
        <v>0</v>
      </c>
      <c r="BK139">
        <f t="shared" si="39"/>
        <v>0</v>
      </c>
      <c r="BL139">
        <f t="shared" si="40"/>
        <v>0</v>
      </c>
      <c r="BM139">
        <f t="shared" si="41"/>
        <v>0</v>
      </c>
      <c r="BN139">
        <f t="shared" si="42"/>
        <v>0</v>
      </c>
      <c r="BO139">
        <f t="shared" si="43"/>
        <v>0</v>
      </c>
      <c r="BP139">
        <f t="shared" si="44"/>
        <v>0</v>
      </c>
      <c r="BQ139">
        <f t="shared" si="45"/>
        <v>0</v>
      </c>
      <c r="BR139">
        <f t="shared" si="46"/>
        <v>0</v>
      </c>
      <c r="BS139">
        <f t="shared" si="47"/>
        <v>0</v>
      </c>
      <c r="BT139">
        <f t="shared" si="48"/>
        <v>0</v>
      </c>
      <c r="BU139" t="e">
        <f t="shared" si="49"/>
        <v>#DIV/0!</v>
      </c>
      <c r="BV139" t="e">
        <f t="shared" si="50"/>
        <v>#DIV/0!</v>
      </c>
      <c r="BX139" t="e">
        <f t="shared" si="51"/>
        <v>#DIV/0!</v>
      </c>
      <c r="BZ139" t="e">
        <v>#DIV/0!</v>
      </c>
      <c r="CA139" t="e">
        <v>#DIV/0!</v>
      </c>
      <c r="CB139" t="e">
        <v>#DIV/0!</v>
      </c>
      <c r="CC139" t="e">
        <v>#DIV/0!</v>
      </c>
      <c r="CD139" t="e">
        <v>#DIV/0!</v>
      </c>
      <c r="CE139" t="e">
        <v>#DIV/0!</v>
      </c>
      <c r="CF139" t="e">
        <v>#DIV/0!</v>
      </c>
      <c r="CG139" t="e">
        <v>#DIV/0!</v>
      </c>
      <c r="CH139" t="e">
        <v>#DIV/0!</v>
      </c>
      <c r="CI139" t="e">
        <v>#DIV/0!</v>
      </c>
      <c r="CJ139" s="24">
        <v>0</v>
      </c>
      <c r="CK139" t="e">
        <v>#DIV/0!</v>
      </c>
      <c r="CL139" t="e">
        <v>#DIV/0!</v>
      </c>
      <c r="CM139" t="e">
        <v>#DIV/0!</v>
      </c>
      <c r="CN139" t="e">
        <v>#DIV/0!</v>
      </c>
      <c r="CO139" t="e">
        <v>#DIV/0!</v>
      </c>
      <c r="CP139" t="e">
        <v>#DIV/0!</v>
      </c>
      <c r="CQ139" t="e">
        <v>#DIV/0!</v>
      </c>
      <c r="CR139" t="e">
        <v>#DIV/0!</v>
      </c>
      <c r="CS139" t="e">
        <v>#DIV/0!</v>
      </c>
      <c r="CT139" t="e">
        <v>#DIV/0!</v>
      </c>
      <c r="CU139" t="e">
        <v>#DIV/0!</v>
      </c>
      <c r="CV139" t="e">
        <v>#DIV/0!</v>
      </c>
      <c r="CW139" t="e">
        <v>#DIV/0!</v>
      </c>
      <c r="CX139">
        <v>0</v>
      </c>
      <c r="CY139" t="e">
        <v>#DIV/0!</v>
      </c>
      <c r="CZ139" t="e">
        <v>#DIV/0!</v>
      </c>
      <c r="DA139" t="e">
        <v>#DIV/0!</v>
      </c>
      <c r="DB139" t="e">
        <v>#DIV/0!</v>
      </c>
      <c r="DC139" s="24" t="e">
        <f t="shared" si="52"/>
        <v>#DIV/0!</v>
      </c>
      <c r="DD139" s="24" t="e">
        <f t="shared" si="53"/>
        <v>#DIV/0!</v>
      </c>
      <c r="DE139" s="24" t="e">
        <f t="shared" si="55"/>
        <v>#DIV/0!</v>
      </c>
      <c r="DG139" s="5" t="e">
        <f t="shared" si="54"/>
        <v>#DIV/0!</v>
      </c>
    </row>
    <row r="140" spans="1:111">
      <c r="A140" s="54">
        <v>459144</v>
      </c>
      <c r="B140" s="52" t="s">
        <v>298</v>
      </c>
      <c r="C140" s="52" t="s">
        <v>299</v>
      </c>
      <c r="D140" t="s">
        <v>300</v>
      </c>
      <c r="F140" s="52" t="s">
        <v>122</v>
      </c>
      <c r="G140" s="52">
        <v>24.94</v>
      </c>
      <c r="H140" s="52">
        <v>10.37</v>
      </c>
      <c r="I140" s="52">
        <v>1.1950000000000001</v>
      </c>
      <c r="K140" s="52">
        <v>13.73</v>
      </c>
      <c r="L140" s="52"/>
      <c r="M140" s="52">
        <v>2.91</v>
      </c>
      <c r="N140" s="52">
        <v>0.12</v>
      </c>
      <c r="O140" s="52">
        <v>30.79</v>
      </c>
      <c r="Q140" s="52">
        <v>0.18</v>
      </c>
      <c r="T140" s="50"/>
      <c r="X140" s="52">
        <v>15.89</v>
      </c>
      <c r="AB140" s="52">
        <v>0.28999999999999998</v>
      </c>
      <c r="BG140">
        <f t="shared" si="35"/>
        <v>0</v>
      </c>
      <c r="BH140">
        <f t="shared" si="36"/>
        <v>0</v>
      </c>
      <c r="BI140">
        <f t="shared" si="37"/>
        <v>0</v>
      </c>
      <c r="BJ140">
        <f t="shared" si="38"/>
        <v>0</v>
      </c>
      <c r="BK140">
        <f t="shared" si="39"/>
        <v>0</v>
      </c>
      <c r="BL140">
        <f t="shared" si="40"/>
        <v>0</v>
      </c>
      <c r="BM140">
        <f t="shared" si="41"/>
        <v>0</v>
      </c>
      <c r="BN140">
        <f t="shared" si="42"/>
        <v>0</v>
      </c>
      <c r="BO140">
        <f t="shared" si="43"/>
        <v>0</v>
      </c>
      <c r="BP140">
        <f t="shared" si="44"/>
        <v>0</v>
      </c>
      <c r="BQ140">
        <f t="shared" si="45"/>
        <v>0</v>
      </c>
      <c r="BR140">
        <f t="shared" si="46"/>
        <v>0</v>
      </c>
      <c r="BS140">
        <f t="shared" si="47"/>
        <v>0</v>
      </c>
      <c r="BT140">
        <f t="shared" si="48"/>
        <v>0</v>
      </c>
      <c r="BU140" t="e">
        <f t="shared" si="49"/>
        <v>#DIV/0!</v>
      </c>
      <c r="BV140" t="e">
        <f t="shared" si="50"/>
        <v>#DIV/0!</v>
      </c>
      <c r="BX140" t="e">
        <f t="shared" si="51"/>
        <v>#DIV/0!</v>
      </c>
      <c r="BZ140" t="s">
        <v>173</v>
      </c>
      <c r="CA140" t="s">
        <v>173</v>
      </c>
      <c r="CB140" t="s">
        <v>173</v>
      </c>
      <c r="CC140" t="s">
        <v>173</v>
      </c>
      <c r="CD140" t="s">
        <v>173</v>
      </c>
      <c r="CE140" t="s">
        <v>173</v>
      </c>
      <c r="CF140">
        <v>6.1800000000000001E-2</v>
      </c>
      <c r="CG140">
        <v>0.2782</v>
      </c>
      <c r="CH140" t="s">
        <v>173</v>
      </c>
      <c r="CI140">
        <v>6.5699999999999995E-2</v>
      </c>
      <c r="CJ140" s="24">
        <v>0</v>
      </c>
      <c r="CK140">
        <v>0.20730000000000001</v>
      </c>
      <c r="CL140">
        <v>1.5299999999999999E-2</v>
      </c>
      <c r="CM140">
        <v>0.31540000000000001</v>
      </c>
      <c r="CN140">
        <v>0</v>
      </c>
      <c r="CO140" t="s">
        <v>173</v>
      </c>
      <c r="CP140" t="s">
        <v>173</v>
      </c>
      <c r="CQ140" t="s">
        <v>173</v>
      </c>
      <c r="CR140" t="s">
        <v>173</v>
      </c>
      <c r="CS140" t="s">
        <v>173</v>
      </c>
      <c r="CT140" t="s">
        <v>173</v>
      </c>
      <c r="CU140" t="s">
        <v>173</v>
      </c>
      <c r="CV140" t="s">
        <v>173</v>
      </c>
      <c r="CW140" t="s">
        <v>173</v>
      </c>
      <c r="CX140">
        <v>0</v>
      </c>
      <c r="CY140">
        <v>3.1600000000000003E-2</v>
      </c>
      <c r="CZ140">
        <v>3.0000000000000001E-3</v>
      </c>
      <c r="DA140" t="s">
        <v>173</v>
      </c>
      <c r="DB140">
        <v>2.18E-2</v>
      </c>
      <c r="DC140" s="24">
        <f t="shared" si="52"/>
        <v>6.5699999999999995E-2</v>
      </c>
      <c r="DD140" s="24">
        <f t="shared" si="53"/>
        <v>0.34</v>
      </c>
      <c r="DE140" s="24">
        <f t="shared" si="55"/>
        <v>0.52270000000000005</v>
      </c>
      <c r="DG140" s="5" t="e">
        <f t="shared" si="54"/>
        <v>#DIV/0!</v>
      </c>
    </row>
    <row r="141" spans="1:111">
      <c r="A141" s="54">
        <v>459144</v>
      </c>
      <c r="B141" s="52" t="s">
        <v>298</v>
      </c>
      <c r="C141" s="52" t="s">
        <v>299</v>
      </c>
      <c r="D141" t="s">
        <v>300</v>
      </c>
      <c r="F141" s="52" t="s">
        <v>122</v>
      </c>
      <c r="G141" s="52">
        <v>25.64</v>
      </c>
      <c r="H141" s="52">
        <v>10.7</v>
      </c>
      <c r="I141" s="52">
        <v>0.82499999999999996</v>
      </c>
      <c r="K141" s="52">
        <v>13.71</v>
      </c>
      <c r="L141" s="52"/>
      <c r="M141" s="52">
        <v>3.04</v>
      </c>
      <c r="N141" s="52">
        <v>0.17199999999999999</v>
      </c>
      <c r="O141" s="52">
        <v>30.57</v>
      </c>
      <c r="Q141" s="52">
        <v>0.245</v>
      </c>
      <c r="T141" s="50"/>
      <c r="X141" s="52">
        <v>15.1</v>
      </c>
      <c r="AB141" s="52">
        <v>0.29199999999999998</v>
      </c>
      <c r="BG141">
        <f t="shared" si="35"/>
        <v>0</v>
      </c>
      <c r="BH141">
        <f t="shared" si="36"/>
        <v>0</v>
      </c>
      <c r="BI141">
        <f t="shared" si="37"/>
        <v>0</v>
      </c>
      <c r="BJ141">
        <f t="shared" si="38"/>
        <v>0</v>
      </c>
      <c r="BK141">
        <f t="shared" si="39"/>
        <v>0</v>
      </c>
      <c r="BL141">
        <f t="shared" si="40"/>
        <v>0</v>
      </c>
      <c r="BM141">
        <f t="shared" si="41"/>
        <v>0</v>
      </c>
      <c r="BN141">
        <f t="shared" si="42"/>
        <v>0</v>
      </c>
      <c r="BO141">
        <f t="shared" si="43"/>
        <v>0</v>
      </c>
      <c r="BP141">
        <f t="shared" si="44"/>
        <v>0</v>
      </c>
      <c r="BQ141">
        <f t="shared" si="45"/>
        <v>0</v>
      </c>
      <c r="BR141">
        <f t="shared" si="46"/>
        <v>0</v>
      </c>
      <c r="BS141">
        <f t="shared" si="47"/>
        <v>0</v>
      </c>
      <c r="BT141">
        <f t="shared" si="48"/>
        <v>0</v>
      </c>
      <c r="BU141" t="e">
        <f t="shared" si="49"/>
        <v>#DIV/0!</v>
      </c>
      <c r="BV141" t="e">
        <f t="shared" si="50"/>
        <v>#DIV/0!</v>
      </c>
      <c r="BX141" t="e">
        <f t="shared" si="51"/>
        <v>#DIV/0!</v>
      </c>
      <c r="BZ141" t="s">
        <v>173</v>
      </c>
      <c r="CA141" t="s">
        <v>173</v>
      </c>
      <c r="CB141" t="s">
        <v>173</v>
      </c>
      <c r="CC141" t="s">
        <v>173</v>
      </c>
      <c r="CD141" t="s">
        <v>173</v>
      </c>
      <c r="CE141" t="s">
        <v>173</v>
      </c>
      <c r="CF141">
        <v>4.2599999999999999E-2</v>
      </c>
      <c r="CG141">
        <v>0.2797</v>
      </c>
      <c r="CH141" t="s">
        <v>173</v>
      </c>
      <c r="CI141">
        <v>5.5599999999999997E-2</v>
      </c>
      <c r="CJ141" s="24">
        <v>0</v>
      </c>
      <c r="CK141">
        <v>0.23380000000000001</v>
      </c>
      <c r="CL141">
        <v>2.0799999999999999E-2</v>
      </c>
      <c r="CM141">
        <v>0.318</v>
      </c>
      <c r="CN141">
        <v>0</v>
      </c>
      <c r="CO141" t="s">
        <v>173</v>
      </c>
      <c r="CP141" t="s">
        <v>173</v>
      </c>
      <c r="CQ141" t="s">
        <v>173</v>
      </c>
      <c r="CR141" t="s">
        <v>173</v>
      </c>
      <c r="CS141" t="s">
        <v>173</v>
      </c>
      <c r="CT141" t="s">
        <v>173</v>
      </c>
      <c r="CU141" t="s">
        <v>173</v>
      </c>
      <c r="CV141" t="s">
        <v>173</v>
      </c>
      <c r="CW141" t="s">
        <v>173</v>
      </c>
      <c r="CX141">
        <v>0</v>
      </c>
      <c r="CY141">
        <v>1.9099999999999999E-2</v>
      </c>
      <c r="CZ141">
        <v>4.3E-3</v>
      </c>
      <c r="DA141" t="s">
        <v>173</v>
      </c>
      <c r="DB141">
        <v>2.6200000000000001E-2</v>
      </c>
      <c r="DC141" s="24">
        <f t="shared" si="52"/>
        <v>5.5599999999999997E-2</v>
      </c>
      <c r="DD141" s="24">
        <f t="shared" si="53"/>
        <v>0.32230000000000003</v>
      </c>
      <c r="DE141" s="24">
        <f t="shared" si="55"/>
        <v>0.55180000000000007</v>
      </c>
      <c r="DG141" s="5" t="e">
        <f t="shared" si="54"/>
        <v>#DIV/0!</v>
      </c>
    </row>
    <row r="142" spans="1:111">
      <c r="A142" s="54">
        <v>459144</v>
      </c>
      <c r="B142" s="52" t="s">
        <v>298</v>
      </c>
      <c r="C142" s="52" t="s">
        <v>299</v>
      </c>
      <c r="D142" t="s">
        <v>300</v>
      </c>
      <c r="F142" s="52" t="s">
        <v>123</v>
      </c>
      <c r="G142" s="52">
        <v>24.83</v>
      </c>
      <c r="H142" s="52">
        <v>10.39</v>
      </c>
      <c r="I142" s="52">
        <v>1.2070000000000001</v>
      </c>
      <c r="K142" s="52">
        <v>14.06</v>
      </c>
      <c r="L142" s="52"/>
      <c r="M142" s="52">
        <v>2.84</v>
      </c>
      <c r="N142" s="52">
        <v>0.129</v>
      </c>
      <c r="O142" s="52">
        <v>30.79</v>
      </c>
      <c r="Q142" s="52">
        <v>0.184</v>
      </c>
      <c r="T142" s="50"/>
      <c r="X142" s="52">
        <v>15.73</v>
      </c>
      <c r="AB142" s="52">
        <v>0.28499999999999998</v>
      </c>
      <c r="BG142">
        <f t="shared" ref="BG142:BG152" si="56">AH142/BG$2</f>
        <v>0</v>
      </c>
      <c r="BH142">
        <f t="shared" ref="BH142:BH152" si="57">AI142/BH$2</f>
        <v>0</v>
      </c>
      <c r="BI142">
        <f t="shared" ref="BI142:BI152" si="58">AJ142/BI$2</f>
        <v>0</v>
      </c>
      <c r="BJ142">
        <f t="shared" ref="BJ142:BJ152" si="59">AK142/BJ$2</f>
        <v>0</v>
      </c>
      <c r="BK142">
        <f t="shared" ref="BK142:BK152" si="60">AL142/BK$2</f>
        <v>0</v>
      </c>
      <c r="BL142">
        <f t="shared" ref="BL142:BL152" si="61">AM142/BL$2</f>
        <v>0</v>
      </c>
      <c r="BM142">
        <f t="shared" ref="BM142:BM152" si="62">AN142/BM$2</f>
        <v>0</v>
      </c>
      <c r="BN142">
        <f t="shared" ref="BN142:BN152" si="63">AO142/BN$2</f>
        <v>0</v>
      </c>
      <c r="BO142">
        <f t="shared" ref="BO142:BO152" si="64">AP142/BO$2</f>
        <v>0</v>
      </c>
      <c r="BP142">
        <f t="shared" ref="BP142:BP152" si="65">AQ142/BP$2</f>
        <v>0</v>
      </c>
      <c r="BQ142">
        <f t="shared" ref="BQ142:BQ152" si="66">AR142/BQ$2</f>
        <v>0</v>
      </c>
      <c r="BR142">
        <f t="shared" ref="BR142:BR152" si="67">AS142/BR$2</f>
        <v>0</v>
      </c>
      <c r="BS142">
        <f t="shared" ref="BS142:BS152" si="68">AT142/BS$2</f>
        <v>0</v>
      </c>
      <c r="BT142">
        <f t="shared" ref="BT142:BT152" si="69">AU142/BT$2</f>
        <v>0</v>
      </c>
      <c r="BU142" t="e">
        <f t="shared" si="49"/>
        <v>#DIV/0!</v>
      </c>
      <c r="BV142" t="e">
        <f t="shared" si="50"/>
        <v>#DIV/0!</v>
      </c>
      <c r="BX142" t="e">
        <f t="shared" si="51"/>
        <v>#DIV/0!</v>
      </c>
      <c r="BZ142" t="s">
        <v>173</v>
      </c>
      <c r="CA142" t="s">
        <v>173</v>
      </c>
      <c r="CB142" t="s">
        <v>173</v>
      </c>
      <c r="CC142" t="s">
        <v>173</v>
      </c>
      <c r="CD142" t="s">
        <v>173</v>
      </c>
      <c r="CE142" t="s">
        <v>173</v>
      </c>
      <c r="CF142">
        <v>6.2399999999999997E-2</v>
      </c>
      <c r="CG142">
        <v>0.27410000000000001</v>
      </c>
      <c r="CH142" t="s">
        <v>173</v>
      </c>
      <c r="CI142">
        <v>7.4399999999999994E-2</v>
      </c>
      <c r="CJ142" s="24">
        <v>0</v>
      </c>
      <c r="CK142">
        <v>0.19919999999999999</v>
      </c>
      <c r="CL142">
        <v>1.5599999999999999E-2</v>
      </c>
      <c r="CM142">
        <v>0.30659999999999998</v>
      </c>
      <c r="CN142">
        <v>0</v>
      </c>
      <c r="CO142" t="s">
        <v>173</v>
      </c>
      <c r="CP142" t="s">
        <v>173</v>
      </c>
      <c r="CQ142" t="s">
        <v>173</v>
      </c>
      <c r="CR142" t="s">
        <v>173</v>
      </c>
      <c r="CS142" t="s">
        <v>173</v>
      </c>
      <c r="CT142" t="s">
        <v>173</v>
      </c>
      <c r="CU142" t="s">
        <v>173</v>
      </c>
      <c r="CV142" t="s">
        <v>173</v>
      </c>
      <c r="CW142" t="s">
        <v>173</v>
      </c>
      <c r="CX142">
        <v>0</v>
      </c>
      <c r="CY142">
        <v>4.2999999999999997E-2</v>
      </c>
      <c r="CZ142">
        <v>3.2000000000000002E-3</v>
      </c>
      <c r="DA142" t="s">
        <v>173</v>
      </c>
      <c r="DB142">
        <v>2.1600000000000001E-2</v>
      </c>
      <c r="DC142" s="24">
        <f t="shared" si="52"/>
        <v>7.4399999999999994E-2</v>
      </c>
      <c r="DD142" s="24">
        <f t="shared" si="53"/>
        <v>0.33650000000000002</v>
      </c>
      <c r="DE142" s="24">
        <f t="shared" si="55"/>
        <v>0.50580000000000003</v>
      </c>
      <c r="DG142" s="5" t="e">
        <f t="shared" si="54"/>
        <v>#DIV/0!</v>
      </c>
    </row>
    <row r="143" spans="1:111">
      <c r="A143" s="47"/>
      <c r="B143" s="47"/>
      <c r="C143" s="47"/>
      <c r="D143" t="s">
        <v>300</v>
      </c>
      <c r="F143" s="47"/>
      <c r="G143" s="47"/>
      <c r="H143" s="47"/>
      <c r="I143" s="47"/>
      <c r="K143" s="47"/>
      <c r="L143" s="47"/>
      <c r="M143" s="47"/>
      <c r="N143" s="47"/>
      <c r="O143" s="47"/>
      <c r="Q143" s="47"/>
      <c r="T143" s="50"/>
      <c r="X143" s="47"/>
      <c r="AB143" s="47"/>
      <c r="BG143">
        <f t="shared" si="56"/>
        <v>0</v>
      </c>
      <c r="BH143">
        <f t="shared" si="57"/>
        <v>0</v>
      </c>
      <c r="BI143">
        <f t="shared" si="58"/>
        <v>0</v>
      </c>
      <c r="BJ143">
        <f t="shared" si="59"/>
        <v>0</v>
      </c>
      <c r="BK143">
        <f t="shared" si="60"/>
        <v>0</v>
      </c>
      <c r="BL143">
        <f t="shared" si="61"/>
        <v>0</v>
      </c>
      <c r="BM143">
        <f t="shared" si="62"/>
        <v>0</v>
      </c>
      <c r="BN143">
        <f t="shared" si="63"/>
        <v>0</v>
      </c>
      <c r="BO143">
        <f t="shared" si="64"/>
        <v>0</v>
      </c>
      <c r="BP143">
        <f t="shared" si="65"/>
        <v>0</v>
      </c>
      <c r="BQ143">
        <f t="shared" si="66"/>
        <v>0</v>
      </c>
      <c r="BR143">
        <f t="shared" si="67"/>
        <v>0</v>
      </c>
      <c r="BS143">
        <f t="shared" si="68"/>
        <v>0</v>
      </c>
      <c r="BT143">
        <f t="shared" si="69"/>
        <v>0</v>
      </c>
      <c r="BU143" t="e">
        <f t="shared" si="49"/>
        <v>#DIV/0!</v>
      </c>
      <c r="BV143" t="e">
        <f t="shared" si="50"/>
        <v>#DIV/0!</v>
      </c>
      <c r="BX143" t="e">
        <f t="shared" si="51"/>
        <v>#DIV/0!</v>
      </c>
      <c r="BZ143" t="e">
        <v>#DIV/0!</v>
      </c>
      <c r="CA143" t="e">
        <v>#DIV/0!</v>
      </c>
      <c r="CB143" t="e">
        <v>#DIV/0!</v>
      </c>
      <c r="CC143" t="e">
        <v>#DIV/0!</v>
      </c>
      <c r="CD143" t="e">
        <v>#DIV/0!</v>
      </c>
      <c r="CE143" t="e">
        <v>#DIV/0!</v>
      </c>
      <c r="CF143" t="e">
        <v>#DIV/0!</v>
      </c>
      <c r="CG143" t="e">
        <v>#DIV/0!</v>
      </c>
      <c r="CH143" t="e">
        <v>#DIV/0!</v>
      </c>
      <c r="CI143" t="e">
        <v>#DIV/0!</v>
      </c>
      <c r="CJ143" s="24">
        <v>0</v>
      </c>
      <c r="CK143" t="e">
        <v>#DIV/0!</v>
      </c>
      <c r="CL143" t="e">
        <v>#DIV/0!</v>
      </c>
      <c r="CM143" t="e">
        <v>#DIV/0!</v>
      </c>
      <c r="CN143" t="e">
        <v>#DIV/0!</v>
      </c>
      <c r="CO143" t="e">
        <v>#DIV/0!</v>
      </c>
      <c r="CP143" t="e">
        <v>#DIV/0!</v>
      </c>
      <c r="CQ143" t="e">
        <v>#DIV/0!</v>
      </c>
      <c r="CR143" t="e">
        <v>#DIV/0!</v>
      </c>
      <c r="CS143" t="e">
        <v>#DIV/0!</v>
      </c>
      <c r="CT143" t="e">
        <v>#DIV/0!</v>
      </c>
      <c r="CU143" t="e">
        <v>#DIV/0!</v>
      </c>
      <c r="CV143" t="e">
        <v>#DIV/0!</v>
      </c>
      <c r="CW143" t="e">
        <v>#DIV/0!</v>
      </c>
      <c r="CX143">
        <v>0</v>
      </c>
      <c r="CY143" t="e">
        <v>#DIV/0!</v>
      </c>
      <c r="CZ143" t="e">
        <v>#DIV/0!</v>
      </c>
      <c r="DA143" t="e">
        <v>#DIV/0!</v>
      </c>
      <c r="DB143" t="e">
        <v>#DIV/0!</v>
      </c>
      <c r="DC143" s="24" t="e">
        <f t="shared" si="52"/>
        <v>#DIV/0!</v>
      </c>
      <c r="DD143" s="24" t="e">
        <f t="shared" si="53"/>
        <v>#DIV/0!</v>
      </c>
      <c r="DE143" s="24" t="e">
        <f t="shared" si="55"/>
        <v>#DIV/0!</v>
      </c>
      <c r="DG143" s="5" t="e">
        <f t="shared" si="54"/>
        <v>#DIV/0!</v>
      </c>
    </row>
    <row r="144" spans="1:111">
      <c r="A144" s="54">
        <v>459144</v>
      </c>
      <c r="B144" s="52" t="s">
        <v>298</v>
      </c>
      <c r="C144" s="52" t="s">
        <v>299</v>
      </c>
      <c r="D144" t="s">
        <v>300</v>
      </c>
      <c r="F144" s="52" t="s">
        <v>122</v>
      </c>
      <c r="G144" s="52">
        <v>25.76</v>
      </c>
      <c r="H144" s="52">
        <v>10.73</v>
      </c>
      <c r="I144" s="52">
        <v>0.76300000000000001</v>
      </c>
      <c r="K144" s="52">
        <v>14.09</v>
      </c>
      <c r="L144" s="52"/>
      <c r="M144" s="52">
        <v>3.02</v>
      </c>
      <c r="N144" s="52">
        <v>0.224</v>
      </c>
      <c r="O144" s="52">
        <v>30.63</v>
      </c>
      <c r="Q144" s="52">
        <v>0.28000000000000003</v>
      </c>
      <c r="T144" s="50"/>
      <c r="X144" s="52">
        <v>14.75</v>
      </c>
      <c r="AB144" s="52">
        <v>0.32500000000000001</v>
      </c>
      <c r="BG144">
        <f t="shared" si="56"/>
        <v>0</v>
      </c>
      <c r="BH144">
        <f t="shared" si="57"/>
        <v>0</v>
      </c>
      <c r="BI144">
        <f t="shared" si="58"/>
        <v>0</v>
      </c>
      <c r="BJ144">
        <f t="shared" si="59"/>
        <v>0</v>
      </c>
      <c r="BK144">
        <f t="shared" si="60"/>
        <v>0</v>
      </c>
      <c r="BL144">
        <f t="shared" si="61"/>
        <v>0</v>
      </c>
      <c r="BM144">
        <f t="shared" si="62"/>
        <v>0</v>
      </c>
      <c r="BN144">
        <f t="shared" si="63"/>
        <v>0</v>
      </c>
      <c r="BO144">
        <f t="shared" si="64"/>
        <v>0</v>
      </c>
      <c r="BP144">
        <f t="shared" si="65"/>
        <v>0</v>
      </c>
      <c r="BQ144">
        <f t="shared" si="66"/>
        <v>0</v>
      </c>
      <c r="BR144">
        <f t="shared" si="67"/>
        <v>0</v>
      </c>
      <c r="BS144">
        <f t="shared" si="68"/>
        <v>0</v>
      </c>
      <c r="BT144">
        <f t="shared" si="69"/>
        <v>0</v>
      </c>
      <c r="BU144" t="e">
        <f t="shared" si="49"/>
        <v>#DIV/0!</v>
      </c>
      <c r="BV144" t="e">
        <f t="shared" si="50"/>
        <v>#DIV/0!</v>
      </c>
      <c r="BX144" t="e">
        <f t="shared" si="51"/>
        <v>#DIV/0!</v>
      </c>
      <c r="BZ144" t="s">
        <v>173</v>
      </c>
      <c r="CA144" t="s">
        <v>173</v>
      </c>
      <c r="CB144" t="s">
        <v>173</v>
      </c>
      <c r="CC144" t="s">
        <v>173</v>
      </c>
      <c r="CD144" t="s">
        <v>173</v>
      </c>
      <c r="CE144" t="s">
        <v>173</v>
      </c>
      <c r="CF144">
        <v>3.9199999999999999E-2</v>
      </c>
      <c r="CG144">
        <v>0.27429999999999999</v>
      </c>
      <c r="CH144" t="s">
        <v>173</v>
      </c>
      <c r="CI144">
        <v>6.3600000000000004E-2</v>
      </c>
      <c r="CJ144" s="24">
        <v>0</v>
      </c>
      <c r="CK144">
        <v>0.2117</v>
      </c>
      <c r="CL144">
        <v>2.3699999999999999E-2</v>
      </c>
      <c r="CM144">
        <v>0.31759999999999999</v>
      </c>
      <c r="CN144">
        <v>0</v>
      </c>
      <c r="CO144" t="s">
        <v>173</v>
      </c>
      <c r="CP144" t="s">
        <v>173</v>
      </c>
      <c r="CQ144" t="s">
        <v>173</v>
      </c>
      <c r="CR144" t="s">
        <v>173</v>
      </c>
      <c r="CS144" t="s">
        <v>173</v>
      </c>
      <c r="CT144" t="s">
        <v>173</v>
      </c>
      <c r="CU144" t="s">
        <v>173</v>
      </c>
      <c r="CV144" t="s">
        <v>173</v>
      </c>
      <c r="CW144" t="s">
        <v>173</v>
      </c>
      <c r="CX144">
        <v>0</v>
      </c>
      <c r="CY144">
        <v>3.95E-2</v>
      </c>
      <c r="CZ144">
        <v>5.4999999999999997E-3</v>
      </c>
      <c r="DA144" t="s">
        <v>173</v>
      </c>
      <c r="DB144">
        <v>2.5000000000000001E-2</v>
      </c>
      <c r="DC144" s="24">
        <f t="shared" si="52"/>
        <v>6.3600000000000004E-2</v>
      </c>
      <c r="DD144" s="24">
        <f t="shared" si="53"/>
        <v>0.3135</v>
      </c>
      <c r="DE144" s="24">
        <f t="shared" si="55"/>
        <v>0.52929999999999999</v>
      </c>
      <c r="DG144" s="5" t="e">
        <f t="shared" si="54"/>
        <v>#DIV/0!</v>
      </c>
    </row>
    <row r="145" spans="1:111">
      <c r="A145" s="54">
        <v>459144</v>
      </c>
      <c r="B145" s="52" t="s">
        <v>298</v>
      </c>
      <c r="C145" s="52" t="s">
        <v>299</v>
      </c>
      <c r="D145" t="s">
        <v>300</v>
      </c>
      <c r="F145" s="52" t="s">
        <v>122</v>
      </c>
      <c r="G145" s="52">
        <v>25.89</v>
      </c>
      <c r="H145" s="52">
        <v>11.01</v>
      </c>
      <c r="I145" s="52">
        <v>0.748</v>
      </c>
      <c r="K145" s="52">
        <v>14.31</v>
      </c>
      <c r="L145" s="52"/>
      <c r="M145" s="52">
        <v>2.99</v>
      </c>
      <c r="N145" s="52">
        <v>0.187</v>
      </c>
      <c r="O145" s="52">
        <v>30.68</v>
      </c>
      <c r="Q145" s="52">
        <v>0.29299999999999998</v>
      </c>
      <c r="T145" s="50"/>
      <c r="X145" s="52">
        <v>14.26</v>
      </c>
      <c r="AB145" s="52">
        <v>0.30299999999999999</v>
      </c>
      <c r="BG145">
        <f t="shared" si="56"/>
        <v>0</v>
      </c>
      <c r="BH145">
        <f t="shared" si="57"/>
        <v>0</v>
      </c>
      <c r="BI145">
        <f t="shared" si="58"/>
        <v>0</v>
      </c>
      <c r="BJ145">
        <f t="shared" si="59"/>
        <v>0</v>
      </c>
      <c r="BK145">
        <f t="shared" si="60"/>
        <v>0</v>
      </c>
      <c r="BL145">
        <f t="shared" si="61"/>
        <v>0</v>
      </c>
      <c r="BM145">
        <f t="shared" si="62"/>
        <v>0</v>
      </c>
      <c r="BN145">
        <f t="shared" si="63"/>
        <v>0</v>
      </c>
      <c r="BO145">
        <f t="shared" si="64"/>
        <v>0</v>
      </c>
      <c r="BP145">
        <f t="shared" si="65"/>
        <v>0</v>
      </c>
      <c r="BQ145">
        <f t="shared" si="66"/>
        <v>0</v>
      </c>
      <c r="BR145">
        <f t="shared" si="67"/>
        <v>0</v>
      </c>
      <c r="BS145">
        <f t="shared" si="68"/>
        <v>0</v>
      </c>
      <c r="BT145">
        <f t="shared" si="69"/>
        <v>0</v>
      </c>
      <c r="BU145" t="e">
        <f t="shared" si="49"/>
        <v>#DIV/0!</v>
      </c>
      <c r="BV145" t="e">
        <f t="shared" si="50"/>
        <v>#DIV/0!</v>
      </c>
      <c r="BX145" t="e">
        <f t="shared" si="51"/>
        <v>#DIV/0!</v>
      </c>
      <c r="BZ145" t="s">
        <v>173</v>
      </c>
      <c r="CA145" t="s">
        <v>173</v>
      </c>
      <c r="CB145" t="s">
        <v>173</v>
      </c>
      <c r="CC145" t="s">
        <v>173</v>
      </c>
      <c r="CD145" t="s">
        <v>173</v>
      </c>
      <c r="CE145" t="s">
        <v>173</v>
      </c>
      <c r="CF145">
        <v>3.8300000000000001E-2</v>
      </c>
      <c r="CG145">
        <v>0.26390000000000002</v>
      </c>
      <c r="CH145" t="s">
        <v>173</v>
      </c>
      <c r="CI145">
        <v>7.2499999999999995E-2</v>
      </c>
      <c r="CJ145" s="24">
        <v>0</v>
      </c>
      <c r="CK145">
        <v>0.2175</v>
      </c>
      <c r="CL145">
        <v>2.47E-2</v>
      </c>
      <c r="CM145">
        <v>0.30809999999999998</v>
      </c>
      <c r="CN145">
        <v>0</v>
      </c>
      <c r="CO145" t="s">
        <v>173</v>
      </c>
      <c r="CP145" t="s">
        <v>173</v>
      </c>
      <c r="CQ145" t="s">
        <v>173</v>
      </c>
      <c r="CR145" t="s">
        <v>173</v>
      </c>
      <c r="CS145" t="s">
        <v>173</v>
      </c>
      <c r="CT145" t="s">
        <v>173</v>
      </c>
      <c r="CU145" t="s">
        <v>173</v>
      </c>
      <c r="CV145" t="s">
        <v>173</v>
      </c>
      <c r="CW145" t="s">
        <v>173</v>
      </c>
      <c r="CX145">
        <v>0</v>
      </c>
      <c r="CY145">
        <v>4.3900000000000002E-2</v>
      </c>
      <c r="CZ145">
        <v>4.5999999999999999E-3</v>
      </c>
      <c r="DA145" t="s">
        <v>173</v>
      </c>
      <c r="DB145">
        <v>2.6499999999999999E-2</v>
      </c>
      <c r="DC145" s="24">
        <f t="shared" si="52"/>
        <v>7.2499999999999995E-2</v>
      </c>
      <c r="DD145" s="24">
        <f t="shared" si="53"/>
        <v>0.30220000000000002</v>
      </c>
      <c r="DE145" s="24">
        <f t="shared" si="55"/>
        <v>0.52559999999999996</v>
      </c>
      <c r="DG145" s="5" t="e">
        <f t="shared" si="54"/>
        <v>#DIV/0!</v>
      </c>
    </row>
    <row r="146" spans="1:111">
      <c r="A146" s="48"/>
      <c r="B146" s="48"/>
      <c r="C146" s="48"/>
      <c r="D146" t="s">
        <v>300</v>
      </c>
      <c r="F146" s="48"/>
      <c r="G146" s="50"/>
      <c r="H146" s="50"/>
      <c r="I146" s="50"/>
      <c r="K146" s="50"/>
      <c r="L146" s="50"/>
      <c r="M146" s="50"/>
      <c r="N146" s="50"/>
      <c r="O146" s="50"/>
      <c r="Q146" s="50"/>
      <c r="T146" s="50"/>
      <c r="X146" s="50"/>
      <c r="AB146" s="50"/>
      <c r="BG146">
        <f t="shared" si="56"/>
        <v>0</v>
      </c>
      <c r="BH146">
        <f t="shared" si="57"/>
        <v>0</v>
      </c>
      <c r="BI146">
        <f t="shared" si="58"/>
        <v>0</v>
      </c>
      <c r="BJ146">
        <f t="shared" si="59"/>
        <v>0</v>
      </c>
      <c r="BK146">
        <f t="shared" si="60"/>
        <v>0</v>
      </c>
      <c r="BL146">
        <f t="shared" si="61"/>
        <v>0</v>
      </c>
      <c r="BM146">
        <f t="shared" si="62"/>
        <v>0</v>
      </c>
      <c r="BN146">
        <f t="shared" si="63"/>
        <v>0</v>
      </c>
      <c r="BO146">
        <f t="shared" si="64"/>
        <v>0</v>
      </c>
      <c r="BP146">
        <f t="shared" si="65"/>
        <v>0</v>
      </c>
      <c r="BQ146">
        <f t="shared" si="66"/>
        <v>0</v>
      </c>
      <c r="BR146">
        <f t="shared" si="67"/>
        <v>0</v>
      </c>
      <c r="BS146">
        <f t="shared" si="68"/>
        <v>0</v>
      </c>
      <c r="BT146">
        <f t="shared" si="69"/>
        <v>0</v>
      </c>
      <c r="BU146" t="e">
        <f t="shared" si="49"/>
        <v>#DIV/0!</v>
      </c>
      <c r="BV146" t="e">
        <f t="shared" si="50"/>
        <v>#DIV/0!</v>
      </c>
      <c r="BX146" t="e">
        <f t="shared" si="51"/>
        <v>#DIV/0!</v>
      </c>
      <c r="BZ146" t="e">
        <v>#DIV/0!</v>
      </c>
      <c r="CA146" t="e">
        <v>#DIV/0!</v>
      </c>
      <c r="CB146" t="e">
        <v>#DIV/0!</v>
      </c>
      <c r="CC146" t="e">
        <v>#DIV/0!</v>
      </c>
      <c r="CD146" t="e">
        <v>#DIV/0!</v>
      </c>
      <c r="CE146" t="e">
        <v>#DIV/0!</v>
      </c>
      <c r="CF146" t="e">
        <v>#DIV/0!</v>
      </c>
      <c r="CG146" t="e">
        <v>#DIV/0!</v>
      </c>
      <c r="CH146" t="e">
        <v>#DIV/0!</v>
      </c>
      <c r="CI146" t="e">
        <v>#DIV/0!</v>
      </c>
      <c r="CJ146" s="24">
        <v>0</v>
      </c>
      <c r="CK146" t="e">
        <v>#DIV/0!</v>
      </c>
      <c r="CL146" t="e">
        <v>#DIV/0!</v>
      </c>
      <c r="CM146" t="e">
        <v>#DIV/0!</v>
      </c>
      <c r="CN146" t="e">
        <v>#DIV/0!</v>
      </c>
      <c r="CO146" t="e">
        <v>#DIV/0!</v>
      </c>
      <c r="CP146" t="e">
        <v>#DIV/0!</v>
      </c>
      <c r="CQ146" t="e">
        <v>#DIV/0!</v>
      </c>
      <c r="CR146" t="e">
        <v>#DIV/0!</v>
      </c>
      <c r="CS146" t="e">
        <v>#DIV/0!</v>
      </c>
      <c r="CT146" t="e">
        <v>#DIV/0!</v>
      </c>
      <c r="CU146" t="e">
        <v>#DIV/0!</v>
      </c>
      <c r="CV146" t="e">
        <v>#DIV/0!</v>
      </c>
      <c r="CW146" t="e">
        <v>#DIV/0!</v>
      </c>
      <c r="CX146">
        <v>0</v>
      </c>
      <c r="CY146" t="e">
        <v>#DIV/0!</v>
      </c>
      <c r="CZ146" t="e">
        <v>#DIV/0!</v>
      </c>
      <c r="DA146" t="e">
        <v>#DIV/0!</v>
      </c>
      <c r="DB146" t="e">
        <v>#DIV/0!</v>
      </c>
      <c r="DC146" s="24" t="e">
        <f t="shared" si="52"/>
        <v>#DIV/0!</v>
      </c>
      <c r="DD146" s="24" t="e">
        <f t="shared" si="53"/>
        <v>#DIV/0!</v>
      </c>
      <c r="DE146" s="24" t="e">
        <f t="shared" si="55"/>
        <v>#DIV/0!</v>
      </c>
      <c r="DG146" s="5" t="e">
        <f t="shared" si="54"/>
        <v>#DIV/0!</v>
      </c>
    </row>
    <row r="147" spans="1:111">
      <c r="A147" s="54">
        <v>459144</v>
      </c>
      <c r="B147" s="52" t="s">
        <v>298</v>
      </c>
      <c r="C147" s="52" t="s">
        <v>299</v>
      </c>
      <c r="D147" t="s">
        <v>300</v>
      </c>
      <c r="F147" s="52" t="s">
        <v>122</v>
      </c>
      <c r="G147" s="52">
        <v>25.41</v>
      </c>
      <c r="H147" s="52">
        <v>10.66</v>
      </c>
      <c r="I147" s="52">
        <v>0.91500000000000004</v>
      </c>
      <c r="K147" s="52">
        <v>14</v>
      </c>
      <c r="L147" s="52"/>
      <c r="M147" s="52">
        <v>2.96</v>
      </c>
      <c r="N147" s="52">
        <v>0.18099999999999999</v>
      </c>
      <c r="O147" s="52">
        <v>30.79</v>
      </c>
      <c r="Q147" s="52">
        <v>0.23899999999999999</v>
      </c>
      <c r="T147" s="50"/>
      <c r="X147" s="52">
        <v>15.43</v>
      </c>
      <c r="AB147" s="52">
        <v>0.28000000000000003</v>
      </c>
      <c r="BG147">
        <f t="shared" si="56"/>
        <v>0</v>
      </c>
      <c r="BH147">
        <f t="shared" si="57"/>
        <v>0</v>
      </c>
      <c r="BI147">
        <f t="shared" si="58"/>
        <v>0</v>
      </c>
      <c r="BJ147">
        <f t="shared" si="59"/>
        <v>0</v>
      </c>
      <c r="BK147">
        <f t="shared" si="60"/>
        <v>0</v>
      </c>
      <c r="BL147">
        <f t="shared" si="61"/>
        <v>0</v>
      </c>
      <c r="BM147">
        <f t="shared" si="62"/>
        <v>0</v>
      </c>
      <c r="BN147">
        <f t="shared" si="63"/>
        <v>0</v>
      </c>
      <c r="BO147">
        <f t="shared" si="64"/>
        <v>0</v>
      </c>
      <c r="BP147">
        <f t="shared" si="65"/>
        <v>0</v>
      </c>
      <c r="BQ147">
        <f t="shared" si="66"/>
        <v>0</v>
      </c>
      <c r="BR147">
        <f t="shared" si="67"/>
        <v>0</v>
      </c>
      <c r="BS147">
        <f t="shared" si="68"/>
        <v>0</v>
      </c>
      <c r="BT147">
        <f t="shared" si="69"/>
        <v>0</v>
      </c>
      <c r="BU147" t="e">
        <f t="shared" si="49"/>
        <v>#DIV/0!</v>
      </c>
      <c r="BV147" t="e">
        <f t="shared" si="50"/>
        <v>#DIV/0!</v>
      </c>
      <c r="BX147" t="e">
        <f t="shared" si="51"/>
        <v>#DIV/0!</v>
      </c>
      <c r="BZ147" t="s">
        <v>173</v>
      </c>
      <c r="CA147" t="s">
        <v>173</v>
      </c>
      <c r="CB147" t="s">
        <v>173</v>
      </c>
      <c r="CC147" t="s">
        <v>173</v>
      </c>
      <c r="CD147" t="s">
        <v>173</v>
      </c>
      <c r="CE147" t="s">
        <v>173</v>
      </c>
      <c r="CF147">
        <v>4.7E-2</v>
      </c>
      <c r="CG147">
        <v>0.28100000000000003</v>
      </c>
      <c r="CH147" t="s">
        <v>173</v>
      </c>
      <c r="CI147">
        <v>6.4299999999999996E-2</v>
      </c>
      <c r="CJ147" s="24">
        <v>0</v>
      </c>
      <c r="CK147">
        <v>0.21540000000000001</v>
      </c>
      <c r="CL147">
        <v>2.0199999999999999E-2</v>
      </c>
      <c r="CM147">
        <v>0.31469999999999998</v>
      </c>
      <c r="CN147">
        <v>0</v>
      </c>
      <c r="CO147" t="s">
        <v>173</v>
      </c>
      <c r="CP147" t="s">
        <v>173</v>
      </c>
      <c r="CQ147" t="s">
        <v>173</v>
      </c>
      <c r="CR147" t="s">
        <v>173</v>
      </c>
      <c r="CS147" t="s">
        <v>173</v>
      </c>
      <c r="CT147" t="s">
        <v>173</v>
      </c>
      <c r="CU147" t="s">
        <v>173</v>
      </c>
      <c r="CV147" t="s">
        <v>173</v>
      </c>
      <c r="CW147" t="s">
        <v>173</v>
      </c>
      <c r="CX147">
        <v>0</v>
      </c>
      <c r="CY147">
        <v>2.9600000000000001E-2</v>
      </c>
      <c r="CZ147">
        <v>4.4999999999999997E-3</v>
      </c>
      <c r="DA147" t="s">
        <v>173</v>
      </c>
      <c r="DB147">
        <v>2.3300000000000001E-2</v>
      </c>
      <c r="DC147" s="24">
        <f t="shared" si="52"/>
        <v>6.4299999999999996E-2</v>
      </c>
      <c r="DD147" s="24">
        <f t="shared" si="53"/>
        <v>0.32800000000000001</v>
      </c>
      <c r="DE147" s="24">
        <f t="shared" si="55"/>
        <v>0.53010000000000002</v>
      </c>
      <c r="DG147" s="5" t="e">
        <f t="shared" si="54"/>
        <v>#DIV/0!</v>
      </c>
    </row>
    <row r="148" spans="1:111">
      <c r="A148" s="54">
        <v>459144</v>
      </c>
      <c r="B148" s="52" t="s">
        <v>298</v>
      </c>
      <c r="C148" s="52" t="s">
        <v>299</v>
      </c>
      <c r="D148" t="s">
        <v>300</v>
      </c>
      <c r="F148" s="52" t="s">
        <v>122</v>
      </c>
      <c r="G148" s="52">
        <v>25.16</v>
      </c>
      <c r="H148" s="52">
        <v>10.43</v>
      </c>
      <c r="I148" s="52">
        <v>1.276</v>
      </c>
      <c r="K148" s="52">
        <v>13.95</v>
      </c>
      <c r="L148" s="52"/>
      <c r="M148" s="52">
        <v>2.83</v>
      </c>
      <c r="N148" s="52">
        <v>0.115</v>
      </c>
      <c r="O148" s="52">
        <v>31.07</v>
      </c>
      <c r="Q148" s="52">
        <v>0.18099999999999999</v>
      </c>
      <c r="T148" s="50"/>
      <c r="X148" s="52">
        <v>15.52</v>
      </c>
      <c r="AB148" s="52">
        <v>0.249</v>
      </c>
      <c r="BG148">
        <f t="shared" si="56"/>
        <v>0</v>
      </c>
      <c r="BH148">
        <f t="shared" si="57"/>
        <v>0</v>
      </c>
      <c r="BI148">
        <f t="shared" si="58"/>
        <v>0</v>
      </c>
      <c r="BJ148">
        <f t="shared" si="59"/>
        <v>0</v>
      </c>
      <c r="BK148">
        <f t="shared" si="60"/>
        <v>0</v>
      </c>
      <c r="BL148">
        <f t="shared" si="61"/>
        <v>0</v>
      </c>
      <c r="BM148">
        <f t="shared" si="62"/>
        <v>0</v>
      </c>
      <c r="BN148">
        <f t="shared" si="63"/>
        <v>0</v>
      </c>
      <c r="BO148">
        <f t="shared" si="64"/>
        <v>0</v>
      </c>
      <c r="BP148">
        <f t="shared" si="65"/>
        <v>0</v>
      </c>
      <c r="BQ148">
        <f t="shared" si="66"/>
        <v>0</v>
      </c>
      <c r="BR148">
        <f t="shared" si="67"/>
        <v>0</v>
      </c>
      <c r="BS148">
        <f t="shared" si="68"/>
        <v>0</v>
      </c>
      <c r="BT148">
        <f t="shared" si="69"/>
        <v>0</v>
      </c>
      <c r="BU148" t="e">
        <f t="shared" si="49"/>
        <v>#DIV/0!</v>
      </c>
      <c r="BV148" t="e">
        <f t="shared" si="50"/>
        <v>#DIV/0!</v>
      </c>
      <c r="BX148" t="e">
        <f t="shared" si="51"/>
        <v>#DIV/0!</v>
      </c>
      <c r="BZ148" t="s">
        <v>173</v>
      </c>
      <c r="CA148" t="s">
        <v>173</v>
      </c>
      <c r="CB148" t="s">
        <v>173</v>
      </c>
      <c r="CC148" t="s">
        <v>173</v>
      </c>
      <c r="CD148" t="s">
        <v>173</v>
      </c>
      <c r="CE148" t="s">
        <v>173</v>
      </c>
      <c r="CF148">
        <v>6.5600000000000006E-2</v>
      </c>
      <c r="CG148">
        <v>0.26450000000000001</v>
      </c>
      <c r="CH148" t="s">
        <v>173</v>
      </c>
      <c r="CI148">
        <v>7.2400000000000006E-2</v>
      </c>
      <c r="CJ148" s="24">
        <v>0</v>
      </c>
      <c r="CK148">
        <v>0.19769999999999999</v>
      </c>
      <c r="CL148">
        <v>1.5299999999999999E-2</v>
      </c>
      <c r="CM148">
        <v>0.31140000000000001</v>
      </c>
      <c r="CN148">
        <v>0</v>
      </c>
      <c r="CO148" t="s">
        <v>173</v>
      </c>
      <c r="CP148" t="s">
        <v>173</v>
      </c>
      <c r="CQ148" t="s">
        <v>173</v>
      </c>
      <c r="CR148" t="s">
        <v>173</v>
      </c>
      <c r="CS148" t="s">
        <v>173</v>
      </c>
      <c r="CT148" t="s">
        <v>173</v>
      </c>
      <c r="CU148" t="s">
        <v>173</v>
      </c>
      <c r="CV148" t="s">
        <v>173</v>
      </c>
      <c r="CW148" t="s">
        <v>173</v>
      </c>
      <c r="CX148">
        <v>0</v>
      </c>
      <c r="CY148">
        <v>5.1400000000000001E-2</v>
      </c>
      <c r="CZ148">
        <v>2.8E-3</v>
      </c>
      <c r="DA148" t="s">
        <v>173</v>
      </c>
      <c r="DB148">
        <v>1.89E-2</v>
      </c>
      <c r="DC148" s="24">
        <f t="shared" si="52"/>
        <v>7.2400000000000006E-2</v>
      </c>
      <c r="DD148" s="24">
        <f t="shared" si="53"/>
        <v>0.3301</v>
      </c>
      <c r="DE148" s="24">
        <f t="shared" si="55"/>
        <v>0.5091</v>
      </c>
      <c r="DG148" s="5" t="e">
        <f t="shared" si="54"/>
        <v>#DIV/0!</v>
      </c>
    </row>
    <row r="149" spans="1:111">
      <c r="A149" s="47"/>
      <c r="B149" s="47"/>
      <c r="C149" s="47"/>
      <c r="D149" t="s">
        <v>300</v>
      </c>
      <c r="F149" s="47"/>
      <c r="G149" s="47"/>
      <c r="H149" s="47"/>
      <c r="I149" s="47"/>
      <c r="K149" s="47"/>
      <c r="L149" s="47"/>
      <c r="M149" s="47"/>
      <c r="N149" s="47"/>
      <c r="O149" s="47"/>
      <c r="Q149" s="47"/>
      <c r="T149" s="50"/>
      <c r="X149" s="47"/>
      <c r="AB149" s="47"/>
      <c r="BG149">
        <f t="shared" si="56"/>
        <v>0</v>
      </c>
      <c r="BH149">
        <f t="shared" si="57"/>
        <v>0</v>
      </c>
      <c r="BI149">
        <f t="shared" si="58"/>
        <v>0</v>
      </c>
      <c r="BJ149">
        <f t="shared" si="59"/>
        <v>0</v>
      </c>
      <c r="BK149">
        <f t="shared" si="60"/>
        <v>0</v>
      </c>
      <c r="BL149">
        <f t="shared" si="61"/>
        <v>0</v>
      </c>
      <c r="BM149">
        <f t="shared" si="62"/>
        <v>0</v>
      </c>
      <c r="BN149">
        <f t="shared" si="63"/>
        <v>0</v>
      </c>
      <c r="BO149">
        <f t="shared" si="64"/>
        <v>0</v>
      </c>
      <c r="BP149">
        <f t="shared" si="65"/>
        <v>0</v>
      </c>
      <c r="BQ149">
        <f t="shared" si="66"/>
        <v>0</v>
      </c>
      <c r="BR149">
        <f t="shared" si="67"/>
        <v>0</v>
      </c>
      <c r="BS149">
        <f t="shared" si="68"/>
        <v>0</v>
      </c>
      <c r="BT149">
        <f t="shared" si="69"/>
        <v>0</v>
      </c>
      <c r="BU149" t="e">
        <f t="shared" si="49"/>
        <v>#DIV/0!</v>
      </c>
      <c r="BV149" t="e">
        <f t="shared" si="50"/>
        <v>#DIV/0!</v>
      </c>
      <c r="BX149" t="e">
        <f t="shared" si="51"/>
        <v>#DIV/0!</v>
      </c>
      <c r="CJ149" s="24">
        <v>0</v>
      </c>
      <c r="CK149">
        <v>0</v>
      </c>
      <c r="CL149">
        <v>0</v>
      </c>
      <c r="CM149">
        <v>0</v>
      </c>
      <c r="CN149">
        <v>0</v>
      </c>
      <c r="CX149">
        <v>0</v>
      </c>
      <c r="DC149" s="24">
        <f t="shared" si="52"/>
        <v>0</v>
      </c>
      <c r="DD149" s="24">
        <f t="shared" si="53"/>
        <v>0</v>
      </c>
      <c r="DE149" s="24">
        <f t="shared" si="55"/>
        <v>0</v>
      </c>
      <c r="DG149" s="5" t="e">
        <f t="shared" si="54"/>
        <v>#DIV/0!</v>
      </c>
    </row>
    <row r="150" spans="1:111">
      <c r="A150" s="54">
        <v>459144</v>
      </c>
      <c r="B150" s="52" t="s">
        <v>298</v>
      </c>
      <c r="C150" s="52" t="s">
        <v>299</v>
      </c>
      <c r="D150" t="s">
        <v>300</v>
      </c>
      <c r="F150" s="52" t="s">
        <v>122</v>
      </c>
      <c r="G150" s="52">
        <v>25.97</v>
      </c>
      <c r="H150" s="52">
        <v>10.87</v>
      </c>
      <c r="I150" s="52">
        <v>0.76400000000000001</v>
      </c>
      <c r="K150" s="52">
        <v>14.07</v>
      </c>
      <c r="L150" s="52"/>
      <c r="M150" s="52">
        <v>3.01</v>
      </c>
      <c r="N150" s="52">
        <v>0.20799999999999999</v>
      </c>
      <c r="O150" s="52">
        <v>30.59</v>
      </c>
      <c r="Q150" s="52">
        <v>0.26400000000000001</v>
      </c>
      <c r="T150" s="50"/>
      <c r="X150" s="52">
        <v>14.69</v>
      </c>
      <c r="AB150" s="52">
        <v>0.309</v>
      </c>
      <c r="BG150">
        <f t="shared" si="56"/>
        <v>0</v>
      </c>
      <c r="BH150">
        <f t="shared" si="57"/>
        <v>0</v>
      </c>
      <c r="BI150">
        <f t="shared" si="58"/>
        <v>0</v>
      </c>
      <c r="BJ150">
        <f t="shared" si="59"/>
        <v>0</v>
      </c>
      <c r="BK150">
        <f t="shared" si="60"/>
        <v>0</v>
      </c>
      <c r="BL150">
        <f t="shared" si="61"/>
        <v>0</v>
      </c>
      <c r="BM150">
        <f t="shared" si="62"/>
        <v>0</v>
      </c>
      <c r="BN150">
        <f t="shared" si="63"/>
        <v>0</v>
      </c>
      <c r="BO150">
        <f t="shared" si="64"/>
        <v>0</v>
      </c>
      <c r="BP150">
        <f t="shared" si="65"/>
        <v>0</v>
      </c>
      <c r="BQ150">
        <f t="shared" si="66"/>
        <v>0</v>
      </c>
      <c r="BR150">
        <f t="shared" si="67"/>
        <v>0</v>
      </c>
      <c r="BS150">
        <f t="shared" si="68"/>
        <v>0</v>
      </c>
      <c r="BT150">
        <f t="shared" si="69"/>
        <v>0</v>
      </c>
      <c r="BU150" t="e">
        <f t="shared" si="49"/>
        <v>#DIV/0!</v>
      </c>
      <c r="BV150" t="e">
        <f t="shared" si="50"/>
        <v>#DIV/0!</v>
      </c>
      <c r="BX150" t="e">
        <f t="shared" si="51"/>
        <v>#DIV/0!</v>
      </c>
      <c r="BZ150" t="s">
        <v>173</v>
      </c>
      <c r="CA150" t="s">
        <v>173</v>
      </c>
      <c r="CB150" t="s">
        <v>173</v>
      </c>
      <c r="CC150" t="s">
        <v>173</v>
      </c>
      <c r="CD150" t="s">
        <v>173</v>
      </c>
      <c r="CE150" t="s">
        <v>173</v>
      </c>
      <c r="CF150">
        <v>3.9199999999999999E-2</v>
      </c>
      <c r="CG150">
        <v>0.27250000000000002</v>
      </c>
      <c r="CH150" t="s">
        <v>173</v>
      </c>
      <c r="CI150">
        <v>5.8299999999999998E-2</v>
      </c>
      <c r="CJ150" s="24">
        <v>0</v>
      </c>
      <c r="CK150">
        <v>0.24779999999999999</v>
      </c>
      <c r="CL150">
        <v>2.23E-2</v>
      </c>
      <c r="CM150">
        <v>0.30259999999999998</v>
      </c>
      <c r="CN150">
        <v>0</v>
      </c>
      <c r="CO150" t="s">
        <v>173</v>
      </c>
      <c r="CP150" t="s">
        <v>173</v>
      </c>
      <c r="CQ150" t="s">
        <v>173</v>
      </c>
      <c r="CR150" t="s">
        <v>173</v>
      </c>
      <c r="CS150" t="s">
        <v>173</v>
      </c>
      <c r="CT150" t="s">
        <v>173</v>
      </c>
      <c r="CU150" t="s">
        <v>173</v>
      </c>
      <c r="CV150" t="s">
        <v>173</v>
      </c>
      <c r="CW150" t="s">
        <v>173</v>
      </c>
      <c r="CX150">
        <v>0</v>
      </c>
      <c r="CY150">
        <v>2.29E-2</v>
      </c>
      <c r="CZ150">
        <v>5.1000000000000004E-3</v>
      </c>
      <c r="DA150" t="s">
        <v>173</v>
      </c>
      <c r="DB150">
        <v>2.93E-2</v>
      </c>
      <c r="DC150" s="24">
        <f t="shared" si="52"/>
        <v>5.8299999999999998E-2</v>
      </c>
      <c r="DD150" s="24">
        <f t="shared" si="53"/>
        <v>0.31170000000000003</v>
      </c>
      <c r="DE150" s="24">
        <f t="shared" si="55"/>
        <v>0.5504</v>
      </c>
      <c r="DG150" s="5" t="e">
        <f t="shared" si="54"/>
        <v>#DIV/0!</v>
      </c>
    </row>
    <row r="151" spans="1:111">
      <c r="A151" s="54">
        <v>459144</v>
      </c>
      <c r="B151" s="52" t="s">
        <v>298</v>
      </c>
      <c r="C151" s="52" t="s">
        <v>299</v>
      </c>
      <c r="D151" t="s">
        <v>300</v>
      </c>
      <c r="F151" s="52" t="s">
        <v>122</v>
      </c>
      <c r="G151" s="52">
        <v>26.29</v>
      </c>
      <c r="H151" s="52">
        <v>10.91</v>
      </c>
      <c r="I151" s="52">
        <v>0.73099999999999998</v>
      </c>
      <c r="K151" s="52">
        <v>14.07</v>
      </c>
      <c r="L151" s="52"/>
      <c r="M151" s="52">
        <v>3.04</v>
      </c>
      <c r="N151" s="52">
        <v>0.214</v>
      </c>
      <c r="O151" s="52">
        <v>30.77</v>
      </c>
      <c r="Q151" s="52">
        <v>0.254</v>
      </c>
      <c r="T151" s="50"/>
      <c r="X151" s="52">
        <v>14.45</v>
      </c>
      <c r="AB151" s="52">
        <v>0.307</v>
      </c>
      <c r="BG151">
        <f t="shared" si="56"/>
        <v>0</v>
      </c>
      <c r="BH151">
        <f t="shared" si="57"/>
        <v>0</v>
      </c>
      <c r="BI151">
        <f t="shared" si="58"/>
        <v>0</v>
      </c>
      <c r="BJ151">
        <f t="shared" si="59"/>
        <v>0</v>
      </c>
      <c r="BK151">
        <f t="shared" si="60"/>
        <v>0</v>
      </c>
      <c r="BL151">
        <f t="shared" si="61"/>
        <v>0</v>
      </c>
      <c r="BM151">
        <f t="shared" si="62"/>
        <v>0</v>
      </c>
      <c r="BN151">
        <f t="shared" si="63"/>
        <v>0</v>
      </c>
      <c r="BO151">
        <f t="shared" si="64"/>
        <v>0</v>
      </c>
      <c r="BP151">
        <f t="shared" si="65"/>
        <v>0</v>
      </c>
      <c r="BQ151">
        <f t="shared" si="66"/>
        <v>0</v>
      </c>
      <c r="BR151">
        <f t="shared" si="67"/>
        <v>0</v>
      </c>
      <c r="BS151">
        <f t="shared" si="68"/>
        <v>0</v>
      </c>
      <c r="BT151">
        <f t="shared" si="69"/>
        <v>0</v>
      </c>
      <c r="BU151" t="e">
        <f t="shared" si="49"/>
        <v>#DIV/0!</v>
      </c>
      <c r="BV151" t="e">
        <f t="shared" si="50"/>
        <v>#DIV/0!</v>
      </c>
      <c r="BX151" t="e">
        <f t="shared" si="51"/>
        <v>#DIV/0!</v>
      </c>
      <c r="BZ151" t="s">
        <v>173</v>
      </c>
      <c r="CA151" t="s">
        <v>173</v>
      </c>
      <c r="CB151" t="s">
        <v>173</v>
      </c>
      <c r="CC151" t="s">
        <v>173</v>
      </c>
      <c r="CD151" t="s">
        <v>173</v>
      </c>
      <c r="CE151" t="s">
        <v>173</v>
      </c>
      <c r="CF151">
        <v>3.73E-2</v>
      </c>
      <c r="CG151">
        <v>0.26790000000000003</v>
      </c>
      <c r="CH151" t="s">
        <v>173</v>
      </c>
      <c r="CI151">
        <v>5.6000000000000001E-2</v>
      </c>
      <c r="CJ151" s="24">
        <v>0</v>
      </c>
      <c r="CK151">
        <v>0.2492</v>
      </c>
      <c r="CL151">
        <v>2.1299999999999999E-2</v>
      </c>
      <c r="CM151">
        <v>0.307</v>
      </c>
      <c r="CN151">
        <v>0</v>
      </c>
      <c r="CO151" t="s">
        <v>173</v>
      </c>
      <c r="CP151" t="s">
        <v>173</v>
      </c>
      <c r="CQ151" t="s">
        <v>173</v>
      </c>
      <c r="CR151" t="s">
        <v>173</v>
      </c>
      <c r="CS151" t="s">
        <v>173</v>
      </c>
      <c r="CT151" t="s">
        <v>173</v>
      </c>
      <c r="CU151" t="s">
        <v>173</v>
      </c>
      <c r="CV151" t="s">
        <v>173</v>
      </c>
      <c r="CW151" t="s">
        <v>173</v>
      </c>
      <c r="CX151">
        <v>0</v>
      </c>
      <c r="CY151">
        <v>2.7400000000000001E-2</v>
      </c>
      <c r="CZ151">
        <v>5.1999999999999998E-3</v>
      </c>
      <c r="DA151" t="s">
        <v>173</v>
      </c>
      <c r="DB151">
        <v>2.8500000000000001E-2</v>
      </c>
      <c r="DC151" s="24">
        <f t="shared" si="52"/>
        <v>5.6000000000000001E-2</v>
      </c>
      <c r="DD151" s="24">
        <f t="shared" si="53"/>
        <v>0.30520000000000003</v>
      </c>
      <c r="DE151" s="24">
        <f t="shared" si="55"/>
        <v>0.55620000000000003</v>
      </c>
      <c r="DG151" s="5" t="e">
        <f t="shared" si="54"/>
        <v>#DIV/0!</v>
      </c>
    </row>
    <row r="152" spans="1:111">
      <c r="A152" s="54">
        <v>459144</v>
      </c>
      <c r="B152" s="52" t="s">
        <v>298</v>
      </c>
      <c r="C152" s="52" t="s">
        <v>299</v>
      </c>
      <c r="D152" t="s">
        <v>300</v>
      </c>
      <c r="F152" s="52" t="s">
        <v>123</v>
      </c>
      <c r="G152" s="52">
        <v>25.75</v>
      </c>
      <c r="H152" s="52">
        <v>10.83</v>
      </c>
      <c r="I152" s="52">
        <v>0.77700000000000002</v>
      </c>
      <c r="K152" s="52">
        <v>14.23</v>
      </c>
      <c r="L152" s="52"/>
      <c r="M152" s="52">
        <v>2.99</v>
      </c>
      <c r="N152" s="52">
        <v>0.20399999999999999</v>
      </c>
      <c r="O152" s="52">
        <v>30.68</v>
      </c>
      <c r="Q152" s="52">
        <v>0.312</v>
      </c>
      <c r="T152" s="50"/>
      <c r="X152" s="52">
        <v>14.77</v>
      </c>
      <c r="AB152" s="52">
        <v>0.30299999999999999</v>
      </c>
      <c r="BG152">
        <f t="shared" si="56"/>
        <v>0</v>
      </c>
      <c r="BH152">
        <f t="shared" si="57"/>
        <v>0</v>
      </c>
      <c r="BI152">
        <f t="shared" si="58"/>
        <v>0</v>
      </c>
      <c r="BJ152">
        <f t="shared" si="59"/>
        <v>0</v>
      </c>
      <c r="BK152">
        <f t="shared" si="60"/>
        <v>0</v>
      </c>
      <c r="BL152">
        <f t="shared" si="61"/>
        <v>0</v>
      </c>
      <c r="BM152">
        <f t="shared" si="62"/>
        <v>0</v>
      </c>
      <c r="BN152">
        <f t="shared" si="63"/>
        <v>0</v>
      </c>
      <c r="BO152">
        <f t="shared" si="64"/>
        <v>0</v>
      </c>
      <c r="BP152">
        <f t="shared" si="65"/>
        <v>0</v>
      </c>
      <c r="BQ152">
        <f t="shared" si="66"/>
        <v>0</v>
      </c>
      <c r="BR152">
        <f t="shared" si="67"/>
        <v>0</v>
      </c>
      <c r="BS152">
        <f t="shared" si="68"/>
        <v>0</v>
      </c>
      <c r="BT152">
        <f t="shared" si="69"/>
        <v>0</v>
      </c>
      <c r="BU152" t="e">
        <f t="shared" ref="BU152:BU215" si="70">BK152/BS152</f>
        <v>#DIV/0!</v>
      </c>
      <c r="BV152" t="e">
        <f t="shared" ref="BV152:BV215" si="71">BK152/BG152</f>
        <v>#DIV/0!</v>
      </c>
      <c r="BX152" t="e">
        <f t="shared" ref="BX152:BX215" si="72">BG152/BS152</f>
        <v>#DIV/0!</v>
      </c>
      <c r="BZ152" t="s">
        <v>173</v>
      </c>
      <c r="CA152" t="s">
        <v>173</v>
      </c>
      <c r="CB152" t="s">
        <v>173</v>
      </c>
      <c r="CC152" t="s">
        <v>173</v>
      </c>
      <c r="CD152" t="s">
        <v>173</v>
      </c>
      <c r="CE152" t="s">
        <v>173</v>
      </c>
      <c r="CF152">
        <v>3.9800000000000002E-2</v>
      </c>
      <c r="CG152">
        <v>0.2732</v>
      </c>
      <c r="CH152" t="s">
        <v>173</v>
      </c>
      <c r="CI152">
        <v>6.7699999999999996E-2</v>
      </c>
      <c r="CJ152" s="24">
        <v>0</v>
      </c>
      <c r="CK152">
        <v>0.20749999999999999</v>
      </c>
      <c r="CL152">
        <v>2.63E-2</v>
      </c>
      <c r="CM152">
        <v>0.31280000000000002</v>
      </c>
      <c r="CN152">
        <v>0</v>
      </c>
      <c r="CO152" t="s">
        <v>173</v>
      </c>
      <c r="CP152" t="s">
        <v>173</v>
      </c>
      <c r="CQ152" t="s">
        <v>173</v>
      </c>
      <c r="CR152" t="s">
        <v>173</v>
      </c>
      <c r="CS152" t="s">
        <v>173</v>
      </c>
      <c r="CT152" t="s">
        <v>173</v>
      </c>
      <c r="CU152" t="s">
        <v>173</v>
      </c>
      <c r="CV152" t="s">
        <v>173</v>
      </c>
      <c r="CW152" t="s">
        <v>173</v>
      </c>
      <c r="CX152">
        <v>0</v>
      </c>
      <c r="CY152">
        <v>4.2700000000000002E-2</v>
      </c>
      <c r="CZ152">
        <v>5.0000000000000001E-3</v>
      </c>
      <c r="DA152" t="s">
        <v>173</v>
      </c>
      <c r="DB152">
        <v>2.4899999999999999E-2</v>
      </c>
      <c r="DC152" s="24">
        <f t="shared" si="52"/>
        <v>6.7699999999999996E-2</v>
      </c>
      <c r="DD152" s="24">
        <f t="shared" si="53"/>
        <v>0.313</v>
      </c>
      <c r="DE152" s="24">
        <f t="shared" si="55"/>
        <v>0.52029999999999998</v>
      </c>
      <c r="DG152" s="5" t="e">
        <f t="shared" si="54"/>
        <v>#DIV/0!</v>
      </c>
    </row>
    <row r="153" spans="1:111">
      <c r="A153" s="48"/>
      <c r="B153" s="48"/>
      <c r="C153" s="48"/>
      <c r="D153" t="s">
        <v>300</v>
      </c>
      <c r="F153" s="48"/>
      <c r="G153" s="50"/>
      <c r="H153" s="50"/>
      <c r="I153" s="50"/>
      <c r="K153" s="50"/>
      <c r="L153" s="50"/>
      <c r="M153" s="50"/>
      <c r="N153" s="50"/>
      <c r="O153" s="50"/>
      <c r="Q153" s="50"/>
      <c r="T153" s="50"/>
      <c r="X153" s="50"/>
      <c r="AB153" s="50"/>
      <c r="BG153">
        <f t="shared" ref="BG153:BG169" si="73">AH153/BG$2</f>
        <v>0</v>
      </c>
      <c r="BH153">
        <f t="shared" ref="BH153:BH169" si="74">AI153/BH$2</f>
        <v>0</v>
      </c>
      <c r="BI153">
        <f t="shared" ref="BI153:BI169" si="75">AJ153/BI$2</f>
        <v>0</v>
      </c>
      <c r="BJ153">
        <f t="shared" ref="BJ153:BJ169" si="76">AK153/BJ$2</f>
        <v>0</v>
      </c>
      <c r="BK153">
        <f t="shared" ref="BK153:BK169" si="77">AL153/BK$2</f>
        <v>0</v>
      </c>
      <c r="BL153">
        <f t="shared" ref="BL153:BL169" si="78">AM153/BL$2</f>
        <v>0</v>
      </c>
      <c r="BM153">
        <f t="shared" ref="BM153:BM169" si="79">AN153/BM$2</f>
        <v>0</v>
      </c>
      <c r="BN153">
        <f t="shared" ref="BN153:BN169" si="80">AO153/BN$2</f>
        <v>0</v>
      </c>
      <c r="BO153">
        <f t="shared" ref="BO153:BO169" si="81">AP153/BO$2</f>
        <v>0</v>
      </c>
      <c r="BP153">
        <f t="shared" ref="BP153:BP169" si="82">AQ153/BP$2</f>
        <v>0</v>
      </c>
      <c r="BQ153">
        <f t="shared" ref="BQ153:BQ169" si="83">AR153/BQ$2</f>
        <v>0</v>
      </c>
      <c r="BR153">
        <f t="shared" ref="BR153:BR169" si="84">AS153/BR$2</f>
        <v>0</v>
      </c>
      <c r="BS153">
        <f t="shared" ref="BS153:BS169" si="85">AT153/BS$2</f>
        <v>0</v>
      </c>
      <c r="BT153">
        <f t="shared" ref="BT153:BT169" si="86">AU153/BT$2</f>
        <v>0</v>
      </c>
      <c r="BU153" t="e">
        <f t="shared" si="70"/>
        <v>#DIV/0!</v>
      </c>
      <c r="BV153" t="e">
        <f t="shared" si="71"/>
        <v>#DIV/0!</v>
      </c>
      <c r="BX153" t="e">
        <f t="shared" si="72"/>
        <v>#DIV/0!</v>
      </c>
      <c r="CJ153" s="24">
        <v>0</v>
      </c>
      <c r="CK153">
        <v>0</v>
      </c>
      <c r="CL153">
        <v>0</v>
      </c>
      <c r="CM153">
        <v>0</v>
      </c>
      <c r="CN153">
        <v>0</v>
      </c>
      <c r="CX153">
        <v>0</v>
      </c>
      <c r="DC153" s="24">
        <f t="shared" si="52"/>
        <v>0</v>
      </c>
      <c r="DD153" s="24">
        <f t="shared" si="53"/>
        <v>0</v>
      </c>
      <c r="DE153" s="24">
        <f t="shared" si="55"/>
        <v>0</v>
      </c>
      <c r="DG153" s="5" t="e">
        <f t="shared" si="54"/>
        <v>#DIV/0!</v>
      </c>
    </row>
    <row r="154" spans="1:111">
      <c r="A154" s="54">
        <v>459144</v>
      </c>
      <c r="B154" s="52" t="s">
        <v>298</v>
      </c>
      <c r="C154" s="52" t="s">
        <v>299</v>
      </c>
      <c r="D154" t="s">
        <v>300</v>
      </c>
      <c r="F154" s="52" t="s">
        <v>122</v>
      </c>
      <c r="G154" s="52">
        <v>26.16</v>
      </c>
      <c r="H154" s="52">
        <v>10.83</v>
      </c>
      <c r="I154" s="52">
        <v>0.76300000000000001</v>
      </c>
      <c r="K154" s="52">
        <v>14.13</v>
      </c>
      <c r="L154" s="52"/>
      <c r="M154" s="52">
        <v>3</v>
      </c>
      <c r="N154" s="52">
        <v>0.20399999999999999</v>
      </c>
      <c r="O154" s="52">
        <v>30.97</v>
      </c>
      <c r="Q154" s="52">
        <v>0.249</v>
      </c>
      <c r="T154" s="50"/>
      <c r="X154" s="52">
        <v>14.37</v>
      </c>
      <c r="AB154" s="52">
        <v>0.27200000000000002</v>
      </c>
      <c r="BG154">
        <f t="shared" si="73"/>
        <v>0</v>
      </c>
      <c r="BH154">
        <f t="shared" si="74"/>
        <v>0</v>
      </c>
      <c r="BI154">
        <f t="shared" si="75"/>
        <v>0</v>
      </c>
      <c r="BJ154">
        <f t="shared" si="76"/>
        <v>0</v>
      </c>
      <c r="BK154">
        <f t="shared" si="77"/>
        <v>0</v>
      </c>
      <c r="BL154">
        <f t="shared" si="78"/>
        <v>0</v>
      </c>
      <c r="BM154">
        <f t="shared" si="79"/>
        <v>0</v>
      </c>
      <c r="BN154">
        <f t="shared" si="80"/>
        <v>0</v>
      </c>
      <c r="BO154">
        <f t="shared" si="81"/>
        <v>0</v>
      </c>
      <c r="BP154">
        <f t="shared" si="82"/>
        <v>0</v>
      </c>
      <c r="BQ154">
        <f t="shared" si="83"/>
        <v>0</v>
      </c>
      <c r="BR154">
        <f t="shared" si="84"/>
        <v>0</v>
      </c>
      <c r="BS154">
        <f t="shared" si="85"/>
        <v>0</v>
      </c>
      <c r="BT154">
        <f t="shared" si="86"/>
        <v>0</v>
      </c>
      <c r="BU154" t="e">
        <f t="shared" si="70"/>
        <v>#DIV/0!</v>
      </c>
      <c r="BV154" t="e">
        <f t="shared" si="71"/>
        <v>#DIV/0!</v>
      </c>
      <c r="BX154" t="e">
        <f t="shared" si="72"/>
        <v>#DIV/0!</v>
      </c>
      <c r="BZ154" t="s">
        <v>173</v>
      </c>
      <c r="CA154" t="s">
        <v>173</v>
      </c>
      <c r="CB154" t="s">
        <v>173</v>
      </c>
      <c r="CC154" t="s">
        <v>173</v>
      </c>
      <c r="CD154" t="s">
        <v>173</v>
      </c>
      <c r="CE154" t="s">
        <v>173</v>
      </c>
      <c r="CF154">
        <v>3.9E-2</v>
      </c>
      <c r="CG154">
        <v>0.2646</v>
      </c>
      <c r="CH154" t="s">
        <v>173</v>
      </c>
      <c r="CI154">
        <v>6.3299999999999995E-2</v>
      </c>
      <c r="CJ154" s="24">
        <v>0</v>
      </c>
      <c r="CK154">
        <v>0.21840000000000001</v>
      </c>
      <c r="CL154">
        <v>2.0899999999999998E-2</v>
      </c>
      <c r="CM154">
        <v>0.31900000000000001</v>
      </c>
      <c r="CN154">
        <v>0</v>
      </c>
      <c r="CO154" t="s">
        <v>173</v>
      </c>
      <c r="CP154" t="s">
        <v>173</v>
      </c>
      <c r="CQ154" t="s">
        <v>173</v>
      </c>
      <c r="CR154" t="s">
        <v>173</v>
      </c>
      <c r="CS154" t="s">
        <v>173</v>
      </c>
      <c r="CT154" t="s">
        <v>173</v>
      </c>
      <c r="CU154" t="s">
        <v>173</v>
      </c>
      <c r="CV154" t="s">
        <v>173</v>
      </c>
      <c r="CW154" t="s">
        <v>173</v>
      </c>
      <c r="CX154">
        <v>0</v>
      </c>
      <c r="CY154">
        <v>4.7E-2</v>
      </c>
      <c r="CZ154">
        <v>5.0000000000000001E-3</v>
      </c>
      <c r="DA154" t="s">
        <v>173</v>
      </c>
      <c r="DB154">
        <v>2.2800000000000001E-2</v>
      </c>
      <c r="DC154" s="24">
        <f t="shared" si="52"/>
        <v>6.3299999999999995E-2</v>
      </c>
      <c r="DD154" s="24">
        <f t="shared" si="53"/>
        <v>0.30359999999999998</v>
      </c>
      <c r="DE154" s="24">
        <f t="shared" si="55"/>
        <v>0.53739999999999999</v>
      </c>
      <c r="DG154" s="5" t="e">
        <f t="shared" si="54"/>
        <v>#DIV/0!</v>
      </c>
    </row>
    <row r="155" spans="1:111">
      <c r="A155" s="54">
        <v>459144</v>
      </c>
      <c r="B155" s="52" t="s">
        <v>298</v>
      </c>
      <c r="C155" s="52" t="s">
        <v>299</v>
      </c>
      <c r="D155" t="s">
        <v>300</v>
      </c>
      <c r="F155" s="52" t="s">
        <v>122</v>
      </c>
      <c r="G155" s="52">
        <v>25.12</v>
      </c>
      <c r="H155" s="52">
        <v>10.88</v>
      </c>
      <c r="I155" s="52">
        <v>0.97299999999999998</v>
      </c>
      <c r="K155" s="52">
        <v>14.07</v>
      </c>
      <c r="L155" s="52"/>
      <c r="M155" s="52">
        <v>2.9</v>
      </c>
      <c r="N155" s="52">
        <v>0.193</v>
      </c>
      <c r="O155" s="52">
        <v>30.5</v>
      </c>
      <c r="Q155" s="52">
        <v>0.28799999999999998</v>
      </c>
      <c r="T155" s="50"/>
      <c r="X155" s="52">
        <v>15.34</v>
      </c>
      <c r="AB155" s="52">
        <v>0.32200000000000001</v>
      </c>
      <c r="BG155">
        <f t="shared" si="73"/>
        <v>0</v>
      </c>
      <c r="BH155">
        <f t="shared" si="74"/>
        <v>0</v>
      </c>
      <c r="BI155">
        <f t="shared" si="75"/>
        <v>0</v>
      </c>
      <c r="BJ155">
        <f t="shared" si="76"/>
        <v>0</v>
      </c>
      <c r="BK155">
        <f t="shared" si="77"/>
        <v>0</v>
      </c>
      <c r="BL155">
        <f t="shared" si="78"/>
        <v>0</v>
      </c>
      <c r="BM155">
        <f t="shared" si="79"/>
        <v>0</v>
      </c>
      <c r="BN155">
        <f t="shared" si="80"/>
        <v>0</v>
      </c>
      <c r="BO155">
        <f t="shared" si="81"/>
        <v>0</v>
      </c>
      <c r="BP155">
        <f t="shared" si="82"/>
        <v>0</v>
      </c>
      <c r="BQ155">
        <f t="shared" si="83"/>
        <v>0</v>
      </c>
      <c r="BR155">
        <f t="shared" si="84"/>
        <v>0</v>
      </c>
      <c r="BS155">
        <f t="shared" si="85"/>
        <v>0</v>
      </c>
      <c r="BT155">
        <f t="shared" si="86"/>
        <v>0</v>
      </c>
      <c r="BU155" t="e">
        <f t="shared" si="70"/>
        <v>#DIV/0!</v>
      </c>
      <c r="BV155" t="e">
        <f t="shared" si="71"/>
        <v>#DIV/0!</v>
      </c>
      <c r="BX155" t="e">
        <f t="shared" si="72"/>
        <v>#DIV/0!</v>
      </c>
      <c r="BZ155" t="s">
        <v>173</v>
      </c>
      <c r="CA155" t="s">
        <v>173</v>
      </c>
      <c r="CB155" t="s">
        <v>173</v>
      </c>
      <c r="CC155" t="s">
        <v>173</v>
      </c>
      <c r="CD155" t="s">
        <v>173</v>
      </c>
      <c r="CE155" t="s">
        <v>173</v>
      </c>
      <c r="CF155">
        <v>5.0200000000000002E-2</v>
      </c>
      <c r="CG155">
        <v>0.27710000000000001</v>
      </c>
      <c r="CH155" t="s">
        <v>173</v>
      </c>
      <c r="CI155">
        <v>7.3700000000000002E-2</v>
      </c>
      <c r="CJ155" s="24">
        <v>0</v>
      </c>
      <c r="CK155">
        <v>0.219</v>
      </c>
      <c r="CL155">
        <v>2.4400000000000002E-2</v>
      </c>
      <c r="CM155">
        <v>0.30109999999999998</v>
      </c>
      <c r="CN155">
        <v>0</v>
      </c>
      <c r="CO155" t="s">
        <v>173</v>
      </c>
      <c r="CP155" t="s">
        <v>173</v>
      </c>
      <c r="CQ155" t="s">
        <v>173</v>
      </c>
      <c r="CR155" t="s">
        <v>173</v>
      </c>
      <c r="CS155" t="s">
        <v>173</v>
      </c>
      <c r="CT155" t="s">
        <v>173</v>
      </c>
      <c r="CU155" t="s">
        <v>173</v>
      </c>
      <c r="CV155" t="s">
        <v>173</v>
      </c>
      <c r="CW155" t="s">
        <v>173</v>
      </c>
      <c r="CX155">
        <v>0</v>
      </c>
      <c r="CY155">
        <v>2.41E-2</v>
      </c>
      <c r="CZ155">
        <v>4.7999999999999996E-3</v>
      </c>
      <c r="DA155" t="s">
        <v>173</v>
      </c>
      <c r="DB155">
        <v>2.5700000000000001E-2</v>
      </c>
      <c r="DC155" s="24">
        <f t="shared" si="52"/>
        <v>7.3700000000000002E-2</v>
      </c>
      <c r="DD155" s="24">
        <f t="shared" si="53"/>
        <v>0.32730000000000004</v>
      </c>
      <c r="DE155" s="24">
        <f t="shared" si="55"/>
        <v>0.52010000000000001</v>
      </c>
      <c r="DG155" s="5" t="e">
        <f t="shared" si="54"/>
        <v>#DIV/0!</v>
      </c>
    </row>
    <row r="156" spans="1:111">
      <c r="A156" s="54">
        <v>459144</v>
      </c>
      <c r="B156" s="52" t="s">
        <v>298</v>
      </c>
      <c r="C156" s="52" t="s">
        <v>299</v>
      </c>
      <c r="D156" t="s">
        <v>300</v>
      </c>
      <c r="F156" s="52" t="s">
        <v>123</v>
      </c>
      <c r="G156" s="52">
        <v>25.79</v>
      </c>
      <c r="H156" s="52">
        <v>10.74</v>
      </c>
      <c r="I156" s="52">
        <v>0.85599999999999998</v>
      </c>
      <c r="K156" s="52">
        <v>14.13</v>
      </c>
      <c r="L156" s="52"/>
      <c r="M156" s="52">
        <v>2.99</v>
      </c>
      <c r="N156" s="52">
        <v>0.23</v>
      </c>
      <c r="O156" s="52">
        <v>30.71</v>
      </c>
      <c r="Q156" s="52">
        <v>0.25600000000000001</v>
      </c>
      <c r="T156" s="50"/>
      <c r="X156" s="52">
        <v>14.75</v>
      </c>
      <c r="AB156" s="52">
        <v>0.30599999999999999</v>
      </c>
      <c r="BG156">
        <f t="shared" si="73"/>
        <v>0</v>
      </c>
      <c r="BH156">
        <f t="shared" si="74"/>
        <v>0</v>
      </c>
      <c r="BI156">
        <f t="shared" si="75"/>
        <v>0</v>
      </c>
      <c r="BJ156">
        <f t="shared" si="76"/>
        <v>0</v>
      </c>
      <c r="BK156">
        <f t="shared" si="77"/>
        <v>0</v>
      </c>
      <c r="BL156">
        <f t="shared" si="78"/>
        <v>0</v>
      </c>
      <c r="BM156">
        <f t="shared" si="79"/>
        <v>0</v>
      </c>
      <c r="BN156">
        <f t="shared" si="80"/>
        <v>0</v>
      </c>
      <c r="BO156">
        <f t="shared" si="81"/>
        <v>0</v>
      </c>
      <c r="BP156">
        <f t="shared" si="82"/>
        <v>0</v>
      </c>
      <c r="BQ156">
        <f t="shared" si="83"/>
        <v>0</v>
      </c>
      <c r="BR156">
        <f t="shared" si="84"/>
        <v>0</v>
      </c>
      <c r="BS156">
        <f t="shared" si="85"/>
        <v>0</v>
      </c>
      <c r="BT156">
        <f t="shared" si="86"/>
        <v>0</v>
      </c>
      <c r="BU156" t="e">
        <f t="shared" si="70"/>
        <v>#DIV/0!</v>
      </c>
      <c r="BV156" t="e">
        <f t="shared" si="71"/>
        <v>#DIV/0!</v>
      </c>
      <c r="BX156" t="e">
        <f t="shared" si="72"/>
        <v>#DIV/0!</v>
      </c>
      <c r="BZ156" t="s">
        <v>173</v>
      </c>
      <c r="CA156" t="s">
        <v>173</v>
      </c>
      <c r="CB156" t="s">
        <v>173</v>
      </c>
      <c r="CC156" t="s">
        <v>173</v>
      </c>
      <c r="CD156" t="s">
        <v>173</v>
      </c>
      <c r="CE156" t="s">
        <v>173</v>
      </c>
      <c r="CF156">
        <v>4.3900000000000002E-2</v>
      </c>
      <c r="CG156">
        <v>0.26900000000000002</v>
      </c>
      <c r="CH156" t="s">
        <v>173</v>
      </c>
      <c r="CI156">
        <v>6.5100000000000005E-2</v>
      </c>
      <c r="CJ156" s="24">
        <v>0</v>
      </c>
      <c r="CK156">
        <v>0.21870000000000001</v>
      </c>
      <c r="CL156">
        <v>2.1600000000000001E-2</v>
      </c>
      <c r="CM156">
        <v>0.31109999999999999</v>
      </c>
      <c r="CN156">
        <v>0</v>
      </c>
      <c r="CO156" t="s">
        <v>173</v>
      </c>
      <c r="CP156" t="s">
        <v>173</v>
      </c>
      <c r="CQ156" t="s">
        <v>173</v>
      </c>
      <c r="CR156" t="s">
        <v>173</v>
      </c>
      <c r="CS156" t="s">
        <v>173</v>
      </c>
      <c r="CT156" t="s">
        <v>173</v>
      </c>
      <c r="CU156" t="s">
        <v>173</v>
      </c>
      <c r="CV156" t="s">
        <v>173</v>
      </c>
      <c r="CW156" t="s">
        <v>173</v>
      </c>
      <c r="CX156">
        <v>0</v>
      </c>
      <c r="CY156">
        <v>3.95E-2</v>
      </c>
      <c r="CZ156">
        <v>5.7000000000000002E-3</v>
      </c>
      <c r="DA156" t="s">
        <v>173</v>
      </c>
      <c r="DB156">
        <v>2.5600000000000001E-2</v>
      </c>
      <c r="DC156" s="24">
        <f t="shared" si="52"/>
        <v>6.5100000000000005E-2</v>
      </c>
      <c r="DD156" s="24">
        <f t="shared" si="53"/>
        <v>0.31290000000000001</v>
      </c>
      <c r="DE156" s="24">
        <f t="shared" si="55"/>
        <v>0.52980000000000005</v>
      </c>
      <c r="DG156" s="5" t="e">
        <f t="shared" si="54"/>
        <v>#DIV/0!</v>
      </c>
    </row>
    <row r="157" spans="1:111">
      <c r="A157" s="48"/>
      <c r="B157" s="48"/>
      <c r="C157" s="48"/>
      <c r="D157" t="s">
        <v>300</v>
      </c>
      <c r="F157" s="48"/>
      <c r="G157" s="50"/>
      <c r="H157" s="50"/>
      <c r="I157" s="50"/>
      <c r="K157" s="50"/>
      <c r="L157" s="50"/>
      <c r="M157" s="50"/>
      <c r="N157" s="50"/>
      <c r="O157" s="50"/>
      <c r="Q157" s="50"/>
      <c r="T157" s="50"/>
      <c r="X157" s="50"/>
      <c r="AB157" s="50"/>
      <c r="BG157">
        <f t="shared" si="73"/>
        <v>0</v>
      </c>
      <c r="BH157">
        <f t="shared" si="74"/>
        <v>0</v>
      </c>
      <c r="BI157">
        <f t="shared" si="75"/>
        <v>0</v>
      </c>
      <c r="BJ157">
        <f t="shared" si="76"/>
        <v>0</v>
      </c>
      <c r="BK157">
        <f t="shared" si="77"/>
        <v>0</v>
      </c>
      <c r="BL157">
        <f t="shared" si="78"/>
        <v>0</v>
      </c>
      <c r="BM157">
        <f t="shared" si="79"/>
        <v>0</v>
      </c>
      <c r="BN157">
        <f t="shared" si="80"/>
        <v>0</v>
      </c>
      <c r="BO157">
        <f t="shared" si="81"/>
        <v>0</v>
      </c>
      <c r="BP157">
        <f t="shared" si="82"/>
        <v>0</v>
      </c>
      <c r="BQ157">
        <f t="shared" si="83"/>
        <v>0</v>
      </c>
      <c r="BR157">
        <f t="shared" si="84"/>
        <v>0</v>
      </c>
      <c r="BS157">
        <f t="shared" si="85"/>
        <v>0</v>
      </c>
      <c r="BT157">
        <f t="shared" si="86"/>
        <v>0</v>
      </c>
      <c r="BU157" t="e">
        <f t="shared" si="70"/>
        <v>#DIV/0!</v>
      </c>
      <c r="BV157" t="e">
        <f t="shared" si="71"/>
        <v>#DIV/0!</v>
      </c>
      <c r="BX157" t="e">
        <f t="shared" si="72"/>
        <v>#DIV/0!</v>
      </c>
      <c r="BZ157" t="e">
        <v>#DIV/0!</v>
      </c>
      <c r="CA157" t="e">
        <v>#DIV/0!</v>
      </c>
      <c r="CB157" t="e">
        <v>#DIV/0!</v>
      </c>
      <c r="CC157" t="e">
        <v>#DIV/0!</v>
      </c>
      <c r="CD157" t="e">
        <v>#DIV/0!</v>
      </c>
      <c r="CE157" t="e">
        <v>#DIV/0!</v>
      </c>
      <c r="CF157" t="e">
        <v>#DIV/0!</v>
      </c>
      <c r="CG157" t="e">
        <v>#DIV/0!</v>
      </c>
      <c r="CH157" t="e">
        <v>#DIV/0!</v>
      </c>
      <c r="CI157" t="e">
        <v>#DIV/0!</v>
      </c>
      <c r="CJ157" s="24">
        <v>0</v>
      </c>
      <c r="CK157" t="e">
        <v>#DIV/0!</v>
      </c>
      <c r="CL157" t="e">
        <v>#DIV/0!</v>
      </c>
      <c r="CM157" t="e">
        <v>#DIV/0!</v>
      </c>
      <c r="CN157" t="e">
        <v>#DIV/0!</v>
      </c>
      <c r="CO157" t="e">
        <v>#DIV/0!</v>
      </c>
      <c r="CP157" t="e">
        <v>#DIV/0!</v>
      </c>
      <c r="CQ157" t="e">
        <v>#DIV/0!</v>
      </c>
      <c r="CR157" t="e">
        <v>#DIV/0!</v>
      </c>
      <c r="CS157" t="e">
        <v>#DIV/0!</v>
      </c>
      <c r="CT157" t="e">
        <v>#DIV/0!</v>
      </c>
      <c r="CU157" t="e">
        <v>#DIV/0!</v>
      </c>
      <c r="CV157" t="e">
        <v>#DIV/0!</v>
      </c>
      <c r="CW157" t="e">
        <v>#DIV/0!</v>
      </c>
      <c r="CX157">
        <v>0</v>
      </c>
      <c r="CY157" t="e">
        <v>#DIV/0!</v>
      </c>
      <c r="CZ157" t="e">
        <v>#DIV/0!</v>
      </c>
      <c r="DA157" t="e">
        <v>#DIV/0!</v>
      </c>
      <c r="DB157" t="e">
        <v>#DIV/0!</v>
      </c>
      <c r="DC157" s="24" t="e">
        <f t="shared" si="52"/>
        <v>#DIV/0!</v>
      </c>
      <c r="DD157" s="24" t="e">
        <f t="shared" si="53"/>
        <v>#DIV/0!</v>
      </c>
      <c r="DE157" s="24" t="e">
        <f t="shared" si="55"/>
        <v>#DIV/0!</v>
      </c>
      <c r="DG157" s="5" t="e">
        <f t="shared" si="54"/>
        <v>#DIV/0!</v>
      </c>
    </row>
    <row r="158" spans="1:111">
      <c r="A158" s="54">
        <v>459142</v>
      </c>
      <c r="B158" s="52" t="s">
        <v>298</v>
      </c>
      <c r="C158" s="52" t="s">
        <v>299</v>
      </c>
      <c r="D158" t="s">
        <v>300</v>
      </c>
      <c r="F158" s="52" t="s">
        <v>122</v>
      </c>
      <c r="G158" s="52">
        <v>20.5</v>
      </c>
      <c r="H158" s="52">
        <v>10.26</v>
      </c>
      <c r="I158" s="52">
        <v>3.91</v>
      </c>
      <c r="K158" s="52">
        <v>11.97</v>
      </c>
      <c r="L158" s="52"/>
      <c r="M158" s="52">
        <v>2.36</v>
      </c>
      <c r="N158" s="52">
        <v>8.3000000000000004E-2</v>
      </c>
      <c r="O158" s="53">
        <v>30.35</v>
      </c>
      <c r="Q158" s="52">
        <v>9.4E-2</v>
      </c>
      <c r="T158" s="50"/>
      <c r="X158" s="52">
        <v>20.2</v>
      </c>
      <c r="AB158" s="52">
        <v>0.38600000000000001</v>
      </c>
      <c r="BG158">
        <f t="shared" si="73"/>
        <v>0</v>
      </c>
      <c r="BH158">
        <f t="shared" si="74"/>
        <v>0</v>
      </c>
      <c r="BI158">
        <f t="shared" si="75"/>
        <v>0</v>
      </c>
      <c r="BJ158">
        <f t="shared" si="76"/>
        <v>0</v>
      </c>
      <c r="BK158">
        <f t="shared" si="77"/>
        <v>0</v>
      </c>
      <c r="BL158">
        <f t="shared" si="78"/>
        <v>0</v>
      </c>
      <c r="BM158">
        <f t="shared" si="79"/>
        <v>0</v>
      </c>
      <c r="BN158">
        <f t="shared" si="80"/>
        <v>0</v>
      </c>
      <c r="BO158">
        <f t="shared" si="81"/>
        <v>0</v>
      </c>
      <c r="BP158">
        <f t="shared" si="82"/>
        <v>0</v>
      </c>
      <c r="BQ158">
        <f t="shared" si="83"/>
        <v>0</v>
      </c>
      <c r="BR158">
        <f t="shared" si="84"/>
        <v>0</v>
      </c>
      <c r="BS158">
        <f t="shared" si="85"/>
        <v>0</v>
      </c>
      <c r="BT158">
        <f t="shared" si="86"/>
        <v>0</v>
      </c>
      <c r="BU158" t="e">
        <f t="shared" si="70"/>
        <v>#DIV/0!</v>
      </c>
      <c r="BV158" t="e">
        <f t="shared" si="71"/>
        <v>#DIV/0!</v>
      </c>
      <c r="BX158" t="e">
        <f t="shared" si="72"/>
        <v>#DIV/0!</v>
      </c>
      <c r="BZ158" t="s">
        <v>173</v>
      </c>
      <c r="CA158" t="s">
        <v>173</v>
      </c>
      <c r="CB158" t="s">
        <v>173</v>
      </c>
      <c r="CC158" t="s">
        <v>173</v>
      </c>
      <c r="CD158" t="s">
        <v>173</v>
      </c>
      <c r="CE158" t="s">
        <v>173</v>
      </c>
      <c r="CF158">
        <v>0.2072</v>
      </c>
      <c r="CG158">
        <v>0.2356</v>
      </c>
      <c r="CH158" t="s">
        <v>173</v>
      </c>
      <c r="CI158">
        <v>0.1356</v>
      </c>
      <c r="CJ158" s="24">
        <v>0</v>
      </c>
      <c r="CK158">
        <v>0.14360000000000001</v>
      </c>
      <c r="CL158">
        <v>8.2000000000000007E-3</v>
      </c>
      <c r="CM158">
        <v>0.24990000000000001</v>
      </c>
      <c r="CN158">
        <v>0</v>
      </c>
      <c r="CO158" t="s">
        <v>173</v>
      </c>
      <c r="CP158" t="s">
        <v>173</v>
      </c>
      <c r="CQ158" t="s">
        <v>173</v>
      </c>
      <c r="CR158" t="s">
        <v>173</v>
      </c>
      <c r="CS158" t="s">
        <v>173</v>
      </c>
      <c r="CT158" t="s">
        <v>173</v>
      </c>
      <c r="CU158" t="s">
        <v>173</v>
      </c>
      <c r="CV158" t="s">
        <v>173</v>
      </c>
      <c r="CW158" t="s">
        <v>173</v>
      </c>
      <c r="CX158">
        <v>0</v>
      </c>
      <c r="CY158">
        <v>0</v>
      </c>
      <c r="CZ158">
        <v>2.0999999999999999E-3</v>
      </c>
      <c r="DA158" t="s">
        <v>173</v>
      </c>
      <c r="DB158">
        <v>4.8999999999999998E-3</v>
      </c>
      <c r="DC158" s="24">
        <f t="shared" si="52"/>
        <v>0.1356</v>
      </c>
      <c r="DD158" s="24">
        <f t="shared" si="53"/>
        <v>0.44279999999999997</v>
      </c>
      <c r="DE158" s="24">
        <f t="shared" si="55"/>
        <v>0.39350000000000002</v>
      </c>
      <c r="DG158" s="5" t="e">
        <f t="shared" si="54"/>
        <v>#DIV/0!</v>
      </c>
    </row>
    <row r="159" spans="1:111">
      <c r="A159" s="54">
        <v>459142</v>
      </c>
      <c r="B159" s="52" t="s">
        <v>298</v>
      </c>
      <c r="C159" s="52" t="s">
        <v>299</v>
      </c>
      <c r="D159" t="s">
        <v>300</v>
      </c>
      <c r="F159" s="52" t="s">
        <v>122</v>
      </c>
      <c r="G159" s="52">
        <v>20.440000000000001</v>
      </c>
      <c r="H159" s="52">
        <v>10.28</v>
      </c>
      <c r="I159" s="52">
        <v>3.89</v>
      </c>
      <c r="K159" s="52">
        <v>11.91</v>
      </c>
      <c r="L159" s="52"/>
      <c r="M159" s="52">
        <v>2.36</v>
      </c>
      <c r="N159" s="52">
        <v>9.5000000000000001E-2</v>
      </c>
      <c r="O159" s="52">
        <v>30.33</v>
      </c>
      <c r="Q159" s="52">
        <v>9.8000000000000004E-2</v>
      </c>
      <c r="T159" s="50"/>
      <c r="X159" s="52">
        <v>20.25</v>
      </c>
      <c r="AB159" s="52">
        <v>0.40400000000000003</v>
      </c>
      <c r="BG159">
        <f t="shared" si="73"/>
        <v>0</v>
      </c>
      <c r="BH159">
        <f t="shared" si="74"/>
        <v>0</v>
      </c>
      <c r="BI159">
        <f t="shared" si="75"/>
        <v>0</v>
      </c>
      <c r="BJ159">
        <f t="shared" si="76"/>
        <v>0</v>
      </c>
      <c r="BK159">
        <f t="shared" si="77"/>
        <v>0</v>
      </c>
      <c r="BL159">
        <f t="shared" si="78"/>
        <v>0</v>
      </c>
      <c r="BM159">
        <f t="shared" si="79"/>
        <v>0</v>
      </c>
      <c r="BN159">
        <f t="shared" si="80"/>
        <v>0</v>
      </c>
      <c r="BO159">
        <f t="shared" si="81"/>
        <v>0</v>
      </c>
      <c r="BP159">
        <f t="shared" si="82"/>
        <v>0</v>
      </c>
      <c r="BQ159">
        <f t="shared" si="83"/>
        <v>0</v>
      </c>
      <c r="BR159">
        <f t="shared" si="84"/>
        <v>0</v>
      </c>
      <c r="BS159">
        <f t="shared" si="85"/>
        <v>0</v>
      </c>
      <c r="BT159">
        <f t="shared" si="86"/>
        <v>0</v>
      </c>
      <c r="BU159" t="e">
        <f t="shared" si="70"/>
        <v>#DIV/0!</v>
      </c>
      <c r="BV159" t="e">
        <f t="shared" si="71"/>
        <v>#DIV/0!</v>
      </c>
      <c r="BX159" t="e">
        <f t="shared" si="72"/>
        <v>#DIV/0!</v>
      </c>
      <c r="BZ159" t="s">
        <v>173</v>
      </c>
      <c r="CA159" t="s">
        <v>173</v>
      </c>
      <c r="CB159" t="s">
        <v>173</v>
      </c>
      <c r="CC159" t="s">
        <v>173</v>
      </c>
      <c r="CD159" t="s">
        <v>173</v>
      </c>
      <c r="CE159" t="s">
        <v>173</v>
      </c>
      <c r="CF159">
        <v>0.20630000000000001</v>
      </c>
      <c r="CG159">
        <v>0.23810000000000001</v>
      </c>
      <c r="CH159" t="s">
        <v>173</v>
      </c>
      <c r="CI159">
        <v>0.13569999999999999</v>
      </c>
      <c r="CJ159" s="24">
        <v>0</v>
      </c>
      <c r="CK159">
        <v>0.14149999999999999</v>
      </c>
      <c r="CL159">
        <v>8.6E-3</v>
      </c>
      <c r="CM159">
        <v>0.25059999999999999</v>
      </c>
      <c r="CN159">
        <v>0</v>
      </c>
      <c r="CO159" t="s">
        <v>173</v>
      </c>
      <c r="CP159" t="s">
        <v>173</v>
      </c>
      <c r="CQ159" t="s">
        <v>173</v>
      </c>
      <c r="CR159" t="s">
        <v>173</v>
      </c>
      <c r="CS159" t="s">
        <v>173</v>
      </c>
      <c r="CT159" t="s">
        <v>173</v>
      </c>
      <c r="CU159" t="s">
        <v>173</v>
      </c>
      <c r="CV159" t="s">
        <v>173</v>
      </c>
      <c r="CW159" t="s">
        <v>173</v>
      </c>
      <c r="CX159">
        <v>0</v>
      </c>
      <c r="CY159">
        <v>0</v>
      </c>
      <c r="CZ159">
        <v>2.3999999999999998E-3</v>
      </c>
      <c r="DA159" t="s">
        <v>173</v>
      </c>
      <c r="DB159">
        <v>1.2999999999999999E-3</v>
      </c>
      <c r="DC159" s="24">
        <f t="shared" si="52"/>
        <v>0.13569999999999999</v>
      </c>
      <c r="DD159" s="24">
        <f t="shared" si="53"/>
        <v>0.44440000000000002</v>
      </c>
      <c r="DE159" s="24">
        <f t="shared" si="55"/>
        <v>0.3921</v>
      </c>
      <c r="DG159" s="5" t="e">
        <f t="shared" si="54"/>
        <v>#DIV/0!</v>
      </c>
    </row>
    <row r="160" spans="1:111">
      <c r="A160" s="54">
        <v>459142</v>
      </c>
      <c r="B160" s="52" t="s">
        <v>298</v>
      </c>
      <c r="C160" s="52" t="s">
        <v>299</v>
      </c>
      <c r="D160" t="s">
        <v>300</v>
      </c>
      <c r="F160" s="52" t="s">
        <v>123</v>
      </c>
      <c r="G160" s="52">
        <v>20.09</v>
      </c>
      <c r="H160" s="52">
        <v>10.39</v>
      </c>
      <c r="I160" s="52">
        <v>3.94</v>
      </c>
      <c r="K160" s="52">
        <v>12.06</v>
      </c>
      <c r="L160" s="52"/>
      <c r="M160" s="52">
        <v>2.2599999999999998</v>
      </c>
      <c r="N160" s="52">
        <v>0.105</v>
      </c>
      <c r="O160" s="52">
        <v>30.46</v>
      </c>
      <c r="Q160" s="52">
        <v>0.109</v>
      </c>
      <c r="T160" s="50"/>
      <c r="X160" s="52">
        <v>20.65</v>
      </c>
      <c r="AB160" s="52">
        <v>0.36699999999999999</v>
      </c>
      <c r="BG160">
        <f t="shared" si="73"/>
        <v>0</v>
      </c>
      <c r="BH160">
        <f t="shared" si="74"/>
        <v>0</v>
      </c>
      <c r="BI160">
        <f t="shared" si="75"/>
        <v>0</v>
      </c>
      <c r="BJ160">
        <f t="shared" si="76"/>
        <v>0</v>
      </c>
      <c r="BK160">
        <f t="shared" si="77"/>
        <v>0</v>
      </c>
      <c r="BL160">
        <f t="shared" si="78"/>
        <v>0</v>
      </c>
      <c r="BM160">
        <f t="shared" si="79"/>
        <v>0</v>
      </c>
      <c r="BN160">
        <f t="shared" si="80"/>
        <v>0</v>
      </c>
      <c r="BO160">
        <f t="shared" si="81"/>
        <v>0</v>
      </c>
      <c r="BP160">
        <f t="shared" si="82"/>
        <v>0</v>
      </c>
      <c r="BQ160">
        <f t="shared" si="83"/>
        <v>0</v>
      </c>
      <c r="BR160">
        <f t="shared" si="84"/>
        <v>0</v>
      </c>
      <c r="BS160">
        <f t="shared" si="85"/>
        <v>0</v>
      </c>
      <c r="BT160">
        <f t="shared" si="86"/>
        <v>0</v>
      </c>
      <c r="BU160" t="e">
        <f t="shared" si="70"/>
        <v>#DIV/0!</v>
      </c>
      <c r="BV160" t="e">
        <f t="shared" si="71"/>
        <v>#DIV/0!</v>
      </c>
      <c r="BX160" t="e">
        <f t="shared" si="72"/>
        <v>#DIV/0!</v>
      </c>
      <c r="BZ160" t="s">
        <v>173</v>
      </c>
      <c r="CA160" t="s">
        <v>173</v>
      </c>
      <c r="CB160" t="s">
        <v>173</v>
      </c>
      <c r="CC160" t="s">
        <v>173</v>
      </c>
      <c r="CD160" t="s">
        <v>173</v>
      </c>
      <c r="CE160" t="s">
        <v>173</v>
      </c>
      <c r="CF160">
        <v>0.2087</v>
      </c>
      <c r="CG160">
        <v>0.24379999999999999</v>
      </c>
      <c r="CH160" t="s">
        <v>173</v>
      </c>
      <c r="CI160">
        <v>0.1439</v>
      </c>
      <c r="CJ160" s="24">
        <v>0</v>
      </c>
      <c r="CK160">
        <v>0.1295</v>
      </c>
      <c r="CL160">
        <v>9.4999999999999998E-3</v>
      </c>
      <c r="CM160">
        <v>0.24879999999999999</v>
      </c>
      <c r="CN160">
        <v>0</v>
      </c>
      <c r="CO160" t="s">
        <v>173</v>
      </c>
      <c r="CP160" t="s">
        <v>173</v>
      </c>
      <c r="CQ160" t="s">
        <v>173</v>
      </c>
      <c r="CR160" t="s">
        <v>173</v>
      </c>
      <c r="CS160" t="s">
        <v>173</v>
      </c>
      <c r="CT160" t="s">
        <v>173</v>
      </c>
      <c r="CU160" t="s">
        <v>173</v>
      </c>
      <c r="CV160" t="s">
        <v>173</v>
      </c>
      <c r="CW160" t="s">
        <v>173</v>
      </c>
      <c r="CX160">
        <v>0</v>
      </c>
      <c r="CY160">
        <v>0</v>
      </c>
      <c r="CZ160" t="s">
        <v>173</v>
      </c>
      <c r="DA160" t="s">
        <v>173</v>
      </c>
      <c r="DB160" t="s">
        <v>173</v>
      </c>
      <c r="DC160" s="24">
        <f t="shared" si="52"/>
        <v>0.1439</v>
      </c>
      <c r="DD160" s="24">
        <f t="shared" si="53"/>
        <v>0.45250000000000001</v>
      </c>
      <c r="DE160" s="24">
        <f t="shared" si="55"/>
        <v>0.37829999999999997</v>
      </c>
      <c r="DG160" s="5" t="e">
        <f t="shared" si="54"/>
        <v>#DIV/0!</v>
      </c>
    </row>
    <row r="161" spans="1:111">
      <c r="A161" s="48"/>
      <c r="B161" s="48"/>
      <c r="C161" s="48"/>
      <c r="D161" t="s">
        <v>300</v>
      </c>
      <c r="F161" s="48"/>
      <c r="G161" s="50"/>
      <c r="H161" s="50"/>
      <c r="I161" s="50"/>
      <c r="K161" s="50"/>
      <c r="L161" s="50"/>
      <c r="M161" s="50"/>
      <c r="N161" s="50"/>
      <c r="O161" s="50"/>
      <c r="Q161" s="50"/>
      <c r="T161" s="50"/>
      <c r="X161" s="50"/>
      <c r="AB161" s="50"/>
      <c r="BG161">
        <f t="shared" si="73"/>
        <v>0</v>
      </c>
      <c r="BH161">
        <f t="shared" si="74"/>
        <v>0</v>
      </c>
      <c r="BI161">
        <f t="shared" si="75"/>
        <v>0</v>
      </c>
      <c r="BJ161">
        <f t="shared" si="76"/>
        <v>0</v>
      </c>
      <c r="BK161">
        <f t="shared" si="77"/>
        <v>0</v>
      </c>
      <c r="BL161">
        <f t="shared" si="78"/>
        <v>0</v>
      </c>
      <c r="BM161">
        <f t="shared" si="79"/>
        <v>0</v>
      </c>
      <c r="BN161">
        <f t="shared" si="80"/>
        <v>0</v>
      </c>
      <c r="BO161">
        <f t="shared" si="81"/>
        <v>0</v>
      </c>
      <c r="BP161">
        <f t="shared" si="82"/>
        <v>0</v>
      </c>
      <c r="BQ161">
        <f t="shared" si="83"/>
        <v>0</v>
      </c>
      <c r="BR161">
        <f t="shared" si="84"/>
        <v>0</v>
      </c>
      <c r="BS161">
        <f t="shared" si="85"/>
        <v>0</v>
      </c>
      <c r="BT161">
        <f t="shared" si="86"/>
        <v>0</v>
      </c>
      <c r="BU161" t="e">
        <f t="shared" si="70"/>
        <v>#DIV/0!</v>
      </c>
      <c r="BV161" t="e">
        <f t="shared" si="71"/>
        <v>#DIV/0!</v>
      </c>
      <c r="BX161" t="e">
        <f t="shared" si="72"/>
        <v>#DIV/0!</v>
      </c>
      <c r="BZ161" t="e">
        <v>#DIV/0!</v>
      </c>
      <c r="CA161" t="e">
        <v>#DIV/0!</v>
      </c>
      <c r="CB161" t="e">
        <v>#DIV/0!</v>
      </c>
      <c r="CC161" t="e">
        <v>#DIV/0!</v>
      </c>
      <c r="CD161" t="e">
        <v>#DIV/0!</v>
      </c>
      <c r="CE161" t="e">
        <v>#DIV/0!</v>
      </c>
      <c r="CF161" t="e">
        <v>#DIV/0!</v>
      </c>
      <c r="CG161" t="e">
        <v>#DIV/0!</v>
      </c>
      <c r="CH161" t="e">
        <v>#DIV/0!</v>
      </c>
      <c r="CI161" t="e">
        <v>#DIV/0!</v>
      </c>
      <c r="CJ161" s="24">
        <v>0</v>
      </c>
      <c r="CK161" t="e">
        <v>#DIV/0!</v>
      </c>
      <c r="CL161" t="e">
        <v>#DIV/0!</v>
      </c>
      <c r="CM161" t="e">
        <v>#DIV/0!</v>
      </c>
      <c r="CN161" t="e">
        <v>#DIV/0!</v>
      </c>
      <c r="CO161" t="e">
        <v>#DIV/0!</v>
      </c>
      <c r="CP161" t="e">
        <v>#DIV/0!</v>
      </c>
      <c r="CQ161" t="e">
        <v>#DIV/0!</v>
      </c>
      <c r="CR161" t="e">
        <v>#DIV/0!</v>
      </c>
      <c r="CS161" t="e">
        <v>#DIV/0!</v>
      </c>
      <c r="CT161" t="e">
        <v>#DIV/0!</v>
      </c>
      <c r="CU161" t="e">
        <v>#DIV/0!</v>
      </c>
      <c r="CV161" t="e">
        <v>#DIV/0!</v>
      </c>
      <c r="CW161" t="e">
        <v>#DIV/0!</v>
      </c>
      <c r="CX161">
        <v>0</v>
      </c>
      <c r="CZ161" t="e">
        <v>#DIV/0!</v>
      </c>
      <c r="DA161" t="e">
        <v>#DIV/0!</v>
      </c>
      <c r="DB161" t="e">
        <v>#DIV/0!</v>
      </c>
      <c r="DC161" s="24" t="e">
        <f t="shared" si="52"/>
        <v>#DIV/0!</v>
      </c>
      <c r="DD161" s="24" t="e">
        <f t="shared" si="53"/>
        <v>#DIV/0!</v>
      </c>
      <c r="DE161" s="24" t="e">
        <f t="shared" si="55"/>
        <v>#DIV/0!</v>
      </c>
      <c r="DG161" s="5" t="e">
        <f t="shared" si="54"/>
        <v>#DIV/0!</v>
      </c>
    </row>
    <row r="162" spans="1:111">
      <c r="A162" s="54">
        <v>459142</v>
      </c>
      <c r="B162" s="52" t="s">
        <v>298</v>
      </c>
      <c r="C162" s="52" t="s">
        <v>299</v>
      </c>
      <c r="D162" t="s">
        <v>300</v>
      </c>
      <c r="F162" s="52" t="s">
        <v>122</v>
      </c>
      <c r="G162" s="52">
        <v>20.67</v>
      </c>
      <c r="H162" s="52">
        <v>10.16</v>
      </c>
      <c r="I162" s="52">
        <v>3.79</v>
      </c>
      <c r="K162" s="52">
        <v>11.89</v>
      </c>
      <c r="L162" s="52"/>
      <c r="M162" s="52">
        <v>2.46</v>
      </c>
      <c r="N162" s="52">
        <v>0.105</v>
      </c>
      <c r="O162" s="52">
        <v>30.44</v>
      </c>
      <c r="Q162" s="52">
        <v>8.1000000000000003E-2</v>
      </c>
      <c r="T162" s="50"/>
      <c r="X162" s="52">
        <v>19.97</v>
      </c>
      <c r="AB162" s="52">
        <v>0.39100000000000001</v>
      </c>
      <c r="BG162">
        <f t="shared" si="73"/>
        <v>0</v>
      </c>
      <c r="BH162">
        <f t="shared" si="74"/>
        <v>0</v>
      </c>
      <c r="BI162">
        <f t="shared" si="75"/>
        <v>0</v>
      </c>
      <c r="BJ162">
        <f t="shared" si="76"/>
        <v>0</v>
      </c>
      <c r="BK162">
        <f t="shared" si="77"/>
        <v>0</v>
      </c>
      <c r="BL162">
        <f t="shared" si="78"/>
        <v>0</v>
      </c>
      <c r="BM162">
        <f t="shared" si="79"/>
        <v>0</v>
      </c>
      <c r="BN162">
        <f t="shared" si="80"/>
        <v>0</v>
      </c>
      <c r="BO162">
        <f t="shared" si="81"/>
        <v>0</v>
      </c>
      <c r="BP162">
        <f t="shared" si="82"/>
        <v>0</v>
      </c>
      <c r="BQ162">
        <f t="shared" si="83"/>
        <v>0</v>
      </c>
      <c r="BR162">
        <f t="shared" si="84"/>
        <v>0</v>
      </c>
      <c r="BS162">
        <f t="shared" si="85"/>
        <v>0</v>
      </c>
      <c r="BT162">
        <f t="shared" si="86"/>
        <v>0</v>
      </c>
      <c r="BU162" t="e">
        <f t="shared" si="70"/>
        <v>#DIV/0!</v>
      </c>
      <c r="BV162" t="e">
        <f t="shared" si="71"/>
        <v>#DIV/0!</v>
      </c>
      <c r="BX162" t="e">
        <f t="shared" si="72"/>
        <v>#DIV/0!</v>
      </c>
      <c r="BZ162" t="s">
        <v>173</v>
      </c>
      <c r="CA162" t="s">
        <v>173</v>
      </c>
      <c r="CB162" t="s">
        <v>173</v>
      </c>
      <c r="CC162" t="s">
        <v>173</v>
      </c>
      <c r="CD162" t="s">
        <v>173</v>
      </c>
      <c r="CE162" t="s">
        <v>173</v>
      </c>
      <c r="CF162">
        <v>0.20080000000000001</v>
      </c>
      <c r="CG162">
        <v>0.2369</v>
      </c>
      <c r="CH162" t="s">
        <v>173</v>
      </c>
      <c r="CI162">
        <v>0.13320000000000001</v>
      </c>
      <c r="CJ162" s="24">
        <v>0</v>
      </c>
      <c r="CK162">
        <v>0.12280000000000001</v>
      </c>
      <c r="CL162">
        <v>7.1000000000000004E-3</v>
      </c>
      <c r="CM162">
        <v>0.28129999999999999</v>
      </c>
      <c r="CN162">
        <v>0</v>
      </c>
      <c r="CO162" t="s">
        <v>173</v>
      </c>
      <c r="CP162" t="s">
        <v>173</v>
      </c>
      <c r="CQ162" t="s">
        <v>173</v>
      </c>
      <c r="CR162" t="s">
        <v>173</v>
      </c>
      <c r="CS162" t="s">
        <v>173</v>
      </c>
      <c r="CT162" t="s">
        <v>173</v>
      </c>
      <c r="CU162" t="s">
        <v>173</v>
      </c>
      <c r="CV162" t="s">
        <v>173</v>
      </c>
      <c r="CW162" t="s">
        <v>173</v>
      </c>
      <c r="CX162">
        <v>0</v>
      </c>
      <c r="CY162">
        <v>0</v>
      </c>
      <c r="CZ162">
        <v>2.7000000000000001E-3</v>
      </c>
      <c r="DA162" t="s">
        <v>173</v>
      </c>
      <c r="DB162">
        <v>1.2800000000000001E-2</v>
      </c>
      <c r="DC162" s="24">
        <f t="shared" si="52"/>
        <v>0.13320000000000001</v>
      </c>
      <c r="DD162" s="24">
        <f t="shared" si="53"/>
        <v>0.43769999999999998</v>
      </c>
      <c r="DE162" s="24">
        <f t="shared" si="55"/>
        <v>0.40410000000000001</v>
      </c>
      <c r="DG162" s="5" t="e">
        <f t="shared" si="54"/>
        <v>#DIV/0!</v>
      </c>
    </row>
    <row r="163" spans="1:111">
      <c r="A163" s="54">
        <v>459142</v>
      </c>
      <c r="B163" s="52" t="s">
        <v>298</v>
      </c>
      <c r="C163" s="52" t="s">
        <v>299</v>
      </c>
      <c r="D163" t="s">
        <v>300</v>
      </c>
      <c r="F163" s="52" t="s">
        <v>122</v>
      </c>
      <c r="G163" s="52">
        <v>20.55</v>
      </c>
      <c r="H163" s="52">
        <v>10.26</v>
      </c>
      <c r="I163" s="52">
        <v>3.82</v>
      </c>
      <c r="K163" s="52">
        <v>11.88</v>
      </c>
      <c r="L163" s="52"/>
      <c r="M163" s="52">
        <v>2.38</v>
      </c>
      <c r="N163" s="52">
        <v>0.109</v>
      </c>
      <c r="O163" s="52">
        <v>30.19</v>
      </c>
      <c r="Q163" s="52">
        <v>5.3999999999999999E-2</v>
      </c>
      <c r="T163" s="50"/>
      <c r="X163" s="52">
        <v>20.13</v>
      </c>
      <c r="AB163" s="52">
        <v>0.39100000000000001</v>
      </c>
      <c r="BG163">
        <f t="shared" si="73"/>
        <v>0</v>
      </c>
      <c r="BH163">
        <f t="shared" si="74"/>
        <v>0</v>
      </c>
      <c r="BI163">
        <f t="shared" si="75"/>
        <v>0</v>
      </c>
      <c r="BJ163">
        <f t="shared" si="76"/>
        <v>0</v>
      </c>
      <c r="BK163">
        <f t="shared" si="77"/>
        <v>0</v>
      </c>
      <c r="BL163">
        <f t="shared" si="78"/>
        <v>0</v>
      </c>
      <c r="BM163">
        <f t="shared" si="79"/>
        <v>0</v>
      </c>
      <c r="BN163">
        <f t="shared" si="80"/>
        <v>0</v>
      </c>
      <c r="BO163">
        <f t="shared" si="81"/>
        <v>0</v>
      </c>
      <c r="BP163">
        <f t="shared" si="82"/>
        <v>0</v>
      </c>
      <c r="BQ163">
        <f t="shared" si="83"/>
        <v>0</v>
      </c>
      <c r="BR163">
        <f t="shared" si="84"/>
        <v>0</v>
      </c>
      <c r="BS163">
        <f t="shared" si="85"/>
        <v>0</v>
      </c>
      <c r="BT163">
        <f t="shared" si="86"/>
        <v>0</v>
      </c>
      <c r="BU163" t="e">
        <f t="shared" si="70"/>
        <v>#DIV/0!</v>
      </c>
      <c r="BV163" t="e">
        <f t="shared" si="71"/>
        <v>#DIV/0!</v>
      </c>
      <c r="BX163" t="e">
        <f t="shared" si="72"/>
        <v>#DIV/0!</v>
      </c>
      <c r="BZ163" t="s">
        <v>173</v>
      </c>
      <c r="CA163" t="s">
        <v>173</v>
      </c>
      <c r="CB163" t="s">
        <v>173</v>
      </c>
      <c r="CC163" t="s">
        <v>173</v>
      </c>
      <c r="CD163" t="s">
        <v>173</v>
      </c>
      <c r="CE163" t="s">
        <v>173</v>
      </c>
      <c r="CF163">
        <v>0.20319999999999999</v>
      </c>
      <c r="CG163">
        <v>0.23980000000000001</v>
      </c>
      <c r="CH163" t="s">
        <v>173</v>
      </c>
      <c r="CI163">
        <v>0.1234</v>
      </c>
      <c r="CJ163" s="24">
        <v>0</v>
      </c>
      <c r="CK163">
        <v>0.15859999999999999</v>
      </c>
      <c r="CL163">
        <v>4.7000000000000002E-3</v>
      </c>
      <c r="CM163">
        <v>0.2467</v>
      </c>
      <c r="CN163">
        <v>0</v>
      </c>
      <c r="CO163" t="s">
        <v>173</v>
      </c>
      <c r="CP163" t="s">
        <v>173</v>
      </c>
      <c r="CQ163" t="s">
        <v>173</v>
      </c>
      <c r="CR163" t="s">
        <v>173</v>
      </c>
      <c r="CS163" t="s">
        <v>173</v>
      </c>
      <c r="CT163" t="s">
        <v>173</v>
      </c>
      <c r="CU163" t="s">
        <v>173</v>
      </c>
      <c r="CV163" t="s">
        <v>173</v>
      </c>
      <c r="CW163" t="s">
        <v>173</v>
      </c>
      <c r="CX163">
        <v>0</v>
      </c>
      <c r="CY163">
        <v>0</v>
      </c>
      <c r="CZ163" t="s">
        <v>173</v>
      </c>
      <c r="DA163" t="s">
        <v>173</v>
      </c>
      <c r="DB163" t="s">
        <v>173</v>
      </c>
      <c r="DC163" s="24">
        <f t="shared" si="52"/>
        <v>0.1234</v>
      </c>
      <c r="DD163" s="24">
        <f t="shared" si="53"/>
        <v>0.443</v>
      </c>
      <c r="DE163" s="24">
        <f t="shared" si="55"/>
        <v>0.40529999999999999</v>
      </c>
      <c r="DG163" s="5" t="e">
        <f t="shared" si="54"/>
        <v>#DIV/0!</v>
      </c>
    </row>
    <row r="164" spans="1:111">
      <c r="A164" s="54">
        <v>459142</v>
      </c>
      <c r="B164" s="52" t="s">
        <v>298</v>
      </c>
      <c r="C164" s="52" t="s">
        <v>299</v>
      </c>
      <c r="D164" t="s">
        <v>300</v>
      </c>
      <c r="F164" s="52" t="s">
        <v>123</v>
      </c>
      <c r="G164" s="52">
        <v>20.7</v>
      </c>
      <c r="H164" s="52">
        <v>10.19</v>
      </c>
      <c r="I164" s="52">
        <v>3.75</v>
      </c>
      <c r="K164" s="52">
        <v>11.99</v>
      </c>
      <c r="L164" s="52"/>
      <c r="M164" s="52">
        <v>2.42</v>
      </c>
      <c r="N164" s="52">
        <v>9.4E-2</v>
      </c>
      <c r="O164" s="52">
        <v>30.21</v>
      </c>
      <c r="Q164" s="52">
        <v>0.06</v>
      </c>
      <c r="T164" s="50"/>
      <c r="X164" s="52">
        <v>19.84</v>
      </c>
      <c r="AB164" s="52">
        <v>0.41899999999999998</v>
      </c>
      <c r="BG164">
        <f t="shared" si="73"/>
        <v>0</v>
      </c>
      <c r="BH164">
        <f t="shared" si="74"/>
        <v>0</v>
      </c>
      <c r="BI164">
        <f t="shared" si="75"/>
        <v>0</v>
      </c>
      <c r="BJ164">
        <f t="shared" si="76"/>
        <v>0</v>
      </c>
      <c r="BK164">
        <f t="shared" si="77"/>
        <v>0</v>
      </c>
      <c r="BL164">
        <f t="shared" si="78"/>
        <v>0</v>
      </c>
      <c r="BM164">
        <f t="shared" si="79"/>
        <v>0</v>
      </c>
      <c r="BN164">
        <f t="shared" si="80"/>
        <v>0</v>
      </c>
      <c r="BO164">
        <f t="shared" si="81"/>
        <v>0</v>
      </c>
      <c r="BP164">
        <f t="shared" si="82"/>
        <v>0</v>
      </c>
      <c r="BQ164">
        <f t="shared" si="83"/>
        <v>0</v>
      </c>
      <c r="BR164">
        <f t="shared" si="84"/>
        <v>0</v>
      </c>
      <c r="BS164">
        <f t="shared" si="85"/>
        <v>0</v>
      </c>
      <c r="BT164">
        <f t="shared" si="86"/>
        <v>0</v>
      </c>
      <c r="BU164" t="e">
        <f t="shared" si="70"/>
        <v>#DIV/0!</v>
      </c>
      <c r="BV164" t="e">
        <f t="shared" si="71"/>
        <v>#DIV/0!</v>
      </c>
      <c r="BX164" t="e">
        <f t="shared" si="72"/>
        <v>#DIV/0!</v>
      </c>
      <c r="BZ164" t="s">
        <v>173</v>
      </c>
      <c r="CA164" t="s">
        <v>173</v>
      </c>
      <c r="CB164" t="s">
        <v>173</v>
      </c>
      <c r="CC164" t="s">
        <v>173</v>
      </c>
      <c r="CD164" t="s">
        <v>173</v>
      </c>
      <c r="CE164" t="s">
        <v>173</v>
      </c>
      <c r="CF164">
        <v>0.19939999999999999</v>
      </c>
      <c r="CG164">
        <v>0.23710000000000001</v>
      </c>
      <c r="CH164" t="s">
        <v>173</v>
      </c>
      <c r="CI164">
        <v>0.12959999999999999</v>
      </c>
      <c r="CJ164" s="24">
        <v>0</v>
      </c>
      <c r="CK164">
        <v>0.15809999999999999</v>
      </c>
      <c r="CL164">
        <v>5.1999999999999998E-3</v>
      </c>
      <c r="CM164">
        <v>0.2477</v>
      </c>
      <c r="CN164">
        <v>0</v>
      </c>
      <c r="CO164" t="s">
        <v>173</v>
      </c>
      <c r="CP164" t="s">
        <v>173</v>
      </c>
      <c r="CQ164" t="s">
        <v>173</v>
      </c>
      <c r="CR164" t="s">
        <v>173</v>
      </c>
      <c r="CS164" t="s">
        <v>173</v>
      </c>
      <c r="CT164" t="s">
        <v>173</v>
      </c>
      <c r="CU164" t="s">
        <v>173</v>
      </c>
      <c r="CV164" t="s">
        <v>173</v>
      </c>
      <c r="CW164" t="s">
        <v>173</v>
      </c>
      <c r="CX164">
        <v>0</v>
      </c>
      <c r="CY164">
        <v>0</v>
      </c>
      <c r="CZ164">
        <v>2.3999999999999998E-3</v>
      </c>
      <c r="DA164" t="s">
        <v>173</v>
      </c>
      <c r="DB164">
        <v>4.3E-3</v>
      </c>
      <c r="DC164" s="24">
        <f t="shared" si="52"/>
        <v>0.12959999999999999</v>
      </c>
      <c r="DD164" s="24">
        <f t="shared" si="53"/>
        <v>0.4365</v>
      </c>
      <c r="DE164" s="24">
        <f t="shared" si="55"/>
        <v>0.40579999999999999</v>
      </c>
      <c r="DG164" s="5" t="e">
        <f t="shared" si="54"/>
        <v>#DIV/0!</v>
      </c>
    </row>
    <row r="165" spans="1:111">
      <c r="A165" s="48"/>
      <c r="B165" s="48"/>
      <c r="C165" s="48"/>
      <c r="D165" t="s">
        <v>300</v>
      </c>
      <c r="F165" s="48"/>
      <c r="G165" s="50"/>
      <c r="H165" s="50"/>
      <c r="I165" s="50"/>
      <c r="K165" s="50"/>
      <c r="L165" s="50"/>
      <c r="M165" s="50"/>
      <c r="N165" s="50"/>
      <c r="O165" s="50"/>
      <c r="Q165" s="50"/>
      <c r="T165" s="50"/>
      <c r="X165" s="50"/>
      <c r="AB165" s="50"/>
      <c r="BG165">
        <f t="shared" si="73"/>
        <v>0</v>
      </c>
      <c r="BH165">
        <f t="shared" si="74"/>
        <v>0</v>
      </c>
      <c r="BI165">
        <f t="shared" si="75"/>
        <v>0</v>
      </c>
      <c r="BJ165">
        <f t="shared" si="76"/>
        <v>0</v>
      </c>
      <c r="BK165">
        <f t="shared" si="77"/>
        <v>0</v>
      </c>
      <c r="BL165">
        <f t="shared" si="78"/>
        <v>0</v>
      </c>
      <c r="BM165">
        <f t="shared" si="79"/>
        <v>0</v>
      </c>
      <c r="BN165">
        <f t="shared" si="80"/>
        <v>0</v>
      </c>
      <c r="BO165">
        <f t="shared" si="81"/>
        <v>0</v>
      </c>
      <c r="BP165">
        <f t="shared" si="82"/>
        <v>0</v>
      </c>
      <c r="BQ165">
        <f t="shared" si="83"/>
        <v>0</v>
      </c>
      <c r="BR165">
        <f t="shared" si="84"/>
        <v>0</v>
      </c>
      <c r="BS165">
        <f t="shared" si="85"/>
        <v>0</v>
      </c>
      <c r="BT165">
        <f t="shared" si="86"/>
        <v>0</v>
      </c>
      <c r="BU165" t="e">
        <f t="shared" si="70"/>
        <v>#DIV/0!</v>
      </c>
      <c r="BV165" t="e">
        <f t="shared" si="71"/>
        <v>#DIV/0!</v>
      </c>
      <c r="BX165" t="e">
        <f t="shared" si="72"/>
        <v>#DIV/0!</v>
      </c>
      <c r="BZ165" t="e">
        <v>#DIV/0!</v>
      </c>
      <c r="CA165" t="e">
        <v>#DIV/0!</v>
      </c>
      <c r="CB165" t="e">
        <v>#DIV/0!</v>
      </c>
      <c r="CC165" t="e">
        <v>#DIV/0!</v>
      </c>
      <c r="CD165" t="e">
        <v>#DIV/0!</v>
      </c>
      <c r="CE165" t="e">
        <v>#DIV/0!</v>
      </c>
      <c r="CF165" t="e">
        <v>#DIV/0!</v>
      </c>
      <c r="CG165" t="e">
        <v>#DIV/0!</v>
      </c>
      <c r="CH165" t="e">
        <v>#DIV/0!</v>
      </c>
      <c r="CI165" t="e">
        <v>#DIV/0!</v>
      </c>
      <c r="CJ165" s="24">
        <v>0</v>
      </c>
      <c r="CK165" t="e">
        <v>#DIV/0!</v>
      </c>
      <c r="CL165" t="e">
        <v>#DIV/0!</v>
      </c>
      <c r="CM165" t="e">
        <v>#DIV/0!</v>
      </c>
      <c r="CN165" t="e">
        <v>#DIV/0!</v>
      </c>
      <c r="CO165" t="e">
        <v>#DIV/0!</v>
      </c>
      <c r="CP165" t="e">
        <v>#DIV/0!</v>
      </c>
      <c r="CQ165" t="e">
        <v>#DIV/0!</v>
      </c>
      <c r="CR165" t="e">
        <v>#DIV/0!</v>
      </c>
      <c r="CS165" t="e">
        <v>#DIV/0!</v>
      </c>
      <c r="CT165" t="e">
        <v>#DIV/0!</v>
      </c>
      <c r="CU165" t="e">
        <v>#DIV/0!</v>
      </c>
      <c r="CV165" t="e">
        <v>#DIV/0!</v>
      </c>
      <c r="CW165" t="e">
        <v>#DIV/0!</v>
      </c>
      <c r="CX165">
        <v>0</v>
      </c>
      <c r="CZ165" t="e">
        <v>#DIV/0!</v>
      </c>
      <c r="DA165" t="e">
        <v>#DIV/0!</v>
      </c>
      <c r="DB165" t="e">
        <v>#DIV/0!</v>
      </c>
      <c r="DC165" s="24" t="e">
        <f t="shared" si="52"/>
        <v>#DIV/0!</v>
      </c>
      <c r="DD165" s="24" t="e">
        <f t="shared" si="53"/>
        <v>#DIV/0!</v>
      </c>
      <c r="DE165" s="24" t="e">
        <f t="shared" si="55"/>
        <v>#DIV/0!</v>
      </c>
      <c r="DG165" s="5" t="e">
        <f t="shared" si="54"/>
        <v>#DIV/0!</v>
      </c>
    </row>
    <row r="166" spans="1:111">
      <c r="A166" s="54">
        <v>459142</v>
      </c>
      <c r="B166" s="52" t="s">
        <v>298</v>
      </c>
      <c r="C166" s="52" t="s">
        <v>299</v>
      </c>
      <c r="D166" t="s">
        <v>300</v>
      </c>
      <c r="F166" s="52" t="s">
        <v>122</v>
      </c>
      <c r="G166" s="52">
        <v>20.43</v>
      </c>
      <c r="H166" s="52">
        <v>10.26</v>
      </c>
      <c r="I166" s="52">
        <v>3.76</v>
      </c>
      <c r="K166" s="52">
        <v>11.98</v>
      </c>
      <c r="L166" s="52"/>
      <c r="M166" s="52">
        <v>2.2599999999999998</v>
      </c>
      <c r="N166" s="52">
        <v>8.4000000000000005E-2</v>
      </c>
      <c r="O166" s="52">
        <v>29.97</v>
      </c>
      <c r="Q166" s="52">
        <v>9.2999999999999999E-2</v>
      </c>
      <c r="T166" s="50"/>
      <c r="X166" s="52">
        <v>20.56</v>
      </c>
      <c r="AB166" s="52">
        <v>0.38400000000000001</v>
      </c>
      <c r="BG166">
        <f t="shared" si="73"/>
        <v>0</v>
      </c>
      <c r="BH166">
        <f t="shared" si="74"/>
        <v>0</v>
      </c>
      <c r="BI166">
        <f t="shared" si="75"/>
        <v>0</v>
      </c>
      <c r="BJ166">
        <f t="shared" si="76"/>
        <v>0</v>
      </c>
      <c r="BK166">
        <f t="shared" si="77"/>
        <v>0</v>
      </c>
      <c r="BL166">
        <f t="shared" si="78"/>
        <v>0</v>
      </c>
      <c r="BM166">
        <f t="shared" si="79"/>
        <v>0</v>
      </c>
      <c r="BN166">
        <f t="shared" si="80"/>
        <v>0</v>
      </c>
      <c r="BO166">
        <f t="shared" si="81"/>
        <v>0</v>
      </c>
      <c r="BP166">
        <f t="shared" si="82"/>
        <v>0</v>
      </c>
      <c r="BQ166">
        <f t="shared" si="83"/>
        <v>0</v>
      </c>
      <c r="BR166">
        <f t="shared" si="84"/>
        <v>0</v>
      </c>
      <c r="BS166">
        <f t="shared" si="85"/>
        <v>0</v>
      </c>
      <c r="BT166">
        <f t="shared" si="86"/>
        <v>0</v>
      </c>
      <c r="BU166" t="e">
        <f t="shared" si="70"/>
        <v>#DIV/0!</v>
      </c>
      <c r="BV166" t="e">
        <f t="shared" si="71"/>
        <v>#DIV/0!</v>
      </c>
      <c r="BX166" t="e">
        <f t="shared" si="72"/>
        <v>#DIV/0!</v>
      </c>
      <c r="BZ166" t="s">
        <v>173</v>
      </c>
      <c r="CA166" t="s">
        <v>173</v>
      </c>
      <c r="CB166" t="s">
        <v>173</v>
      </c>
      <c r="CC166" t="s">
        <v>173</v>
      </c>
      <c r="CD166" t="s">
        <v>173</v>
      </c>
      <c r="CE166" t="s">
        <v>173</v>
      </c>
      <c r="CF166">
        <v>0.2006</v>
      </c>
      <c r="CG166">
        <v>0.25319999999999998</v>
      </c>
      <c r="CH166" t="s">
        <v>173</v>
      </c>
      <c r="CI166">
        <v>9.7900000000000001E-2</v>
      </c>
      <c r="CJ166" s="24">
        <v>0</v>
      </c>
      <c r="CK166">
        <v>0.15820000000000001</v>
      </c>
      <c r="CL166">
        <v>8.2000000000000007E-3</v>
      </c>
      <c r="CM166">
        <v>0.23530000000000001</v>
      </c>
      <c r="CN166">
        <v>0</v>
      </c>
      <c r="CO166" t="s">
        <v>173</v>
      </c>
      <c r="CP166" t="s">
        <v>173</v>
      </c>
      <c r="CQ166" t="s">
        <v>173</v>
      </c>
      <c r="CR166" t="s">
        <v>173</v>
      </c>
      <c r="CS166" t="s">
        <v>173</v>
      </c>
      <c r="CT166" t="s">
        <v>173</v>
      </c>
      <c r="CU166" t="s">
        <v>173</v>
      </c>
      <c r="CV166" t="s">
        <v>173</v>
      </c>
      <c r="CW166" t="s">
        <v>173</v>
      </c>
      <c r="CX166">
        <v>0</v>
      </c>
      <c r="CY166">
        <v>0</v>
      </c>
      <c r="CZ166" t="s">
        <v>173</v>
      </c>
      <c r="DA166" t="s">
        <v>173</v>
      </c>
      <c r="DB166" t="s">
        <v>173</v>
      </c>
      <c r="DC166" s="24">
        <f t="shared" si="52"/>
        <v>9.7900000000000001E-2</v>
      </c>
      <c r="DD166" s="24">
        <f t="shared" si="53"/>
        <v>0.45379999999999998</v>
      </c>
      <c r="DE166" s="24">
        <f t="shared" si="55"/>
        <v>0.39350000000000002</v>
      </c>
      <c r="DG166" s="5" t="e">
        <f t="shared" si="54"/>
        <v>#DIV/0!</v>
      </c>
    </row>
    <row r="167" spans="1:111">
      <c r="A167" s="54">
        <v>459142</v>
      </c>
      <c r="B167" s="52" t="s">
        <v>298</v>
      </c>
      <c r="C167" s="52" t="s">
        <v>299</v>
      </c>
      <c r="D167" t="s">
        <v>300</v>
      </c>
      <c r="F167" s="52" t="s">
        <v>122</v>
      </c>
      <c r="G167" s="52">
        <v>20.67</v>
      </c>
      <c r="H167" s="52">
        <v>10.27</v>
      </c>
      <c r="I167" s="52">
        <v>3.79</v>
      </c>
      <c r="K167" s="52">
        <v>12.24</v>
      </c>
      <c r="L167" s="52"/>
      <c r="M167" s="52">
        <v>2.36</v>
      </c>
      <c r="N167" s="52">
        <v>8.4000000000000005E-2</v>
      </c>
      <c r="O167" s="52">
        <v>30.15</v>
      </c>
      <c r="Q167" s="52">
        <v>0.06</v>
      </c>
      <c r="T167" s="50"/>
      <c r="X167" s="52">
        <v>20.440000000000001</v>
      </c>
      <c r="AB167" s="52">
        <v>0.38400000000000001</v>
      </c>
      <c r="BG167">
        <f t="shared" si="73"/>
        <v>0</v>
      </c>
      <c r="BH167">
        <f t="shared" si="74"/>
        <v>0</v>
      </c>
      <c r="BI167">
        <f t="shared" si="75"/>
        <v>0</v>
      </c>
      <c r="BJ167">
        <f t="shared" si="76"/>
        <v>0</v>
      </c>
      <c r="BK167">
        <f t="shared" si="77"/>
        <v>0</v>
      </c>
      <c r="BL167">
        <f t="shared" si="78"/>
        <v>0</v>
      </c>
      <c r="BM167">
        <f t="shared" si="79"/>
        <v>0</v>
      </c>
      <c r="BN167">
        <f t="shared" si="80"/>
        <v>0</v>
      </c>
      <c r="BO167">
        <f t="shared" si="81"/>
        <v>0</v>
      </c>
      <c r="BP167">
        <f t="shared" si="82"/>
        <v>0</v>
      </c>
      <c r="BQ167">
        <f t="shared" si="83"/>
        <v>0</v>
      </c>
      <c r="BR167">
        <f t="shared" si="84"/>
        <v>0</v>
      </c>
      <c r="BS167">
        <f t="shared" si="85"/>
        <v>0</v>
      </c>
      <c r="BT167">
        <f t="shared" si="86"/>
        <v>0</v>
      </c>
      <c r="BU167" t="e">
        <f t="shared" si="70"/>
        <v>#DIV/0!</v>
      </c>
      <c r="BV167" t="e">
        <f t="shared" si="71"/>
        <v>#DIV/0!</v>
      </c>
      <c r="BX167" t="e">
        <f t="shared" si="72"/>
        <v>#DIV/0!</v>
      </c>
      <c r="BZ167" t="s">
        <v>173</v>
      </c>
      <c r="CA167" t="s">
        <v>173</v>
      </c>
      <c r="CB167" t="s">
        <v>173</v>
      </c>
      <c r="CC167" t="s">
        <v>173</v>
      </c>
      <c r="CD167" t="s">
        <v>173</v>
      </c>
      <c r="CE167" t="s">
        <v>173</v>
      </c>
      <c r="CF167">
        <v>0.2006</v>
      </c>
      <c r="CG167">
        <v>0.247</v>
      </c>
      <c r="CH167" t="s">
        <v>173</v>
      </c>
      <c r="CI167">
        <v>0.1123</v>
      </c>
      <c r="CJ167" s="24">
        <v>0</v>
      </c>
      <c r="CK167">
        <v>0.1769</v>
      </c>
      <c r="CL167">
        <v>5.1999999999999998E-3</v>
      </c>
      <c r="CM167">
        <v>0.2286</v>
      </c>
      <c r="CN167">
        <v>0</v>
      </c>
      <c r="CO167" t="s">
        <v>173</v>
      </c>
      <c r="CP167" t="s">
        <v>173</v>
      </c>
      <c r="CQ167" t="s">
        <v>173</v>
      </c>
      <c r="CR167" t="s">
        <v>173</v>
      </c>
      <c r="CS167" t="s">
        <v>173</v>
      </c>
      <c r="CT167" t="s">
        <v>173</v>
      </c>
      <c r="CU167" t="s">
        <v>173</v>
      </c>
      <c r="CV167" t="s">
        <v>173</v>
      </c>
      <c r="CW167" t="s">
        <v>173</v>
      </c>
      <c r="CX167">
        <v>0</v>
      </c>
      <c r="CY167">
        <v>0</v>
      </c>
      <c r="CZ167" t="s">
        <v>173</v>
      </c>
      <c r="DA167" t="s">
        <v>173</v>
      </c>
      <c r="DB167" t="s">
        <v>173</v>
      </c>
      <c r="DC167" s="24">
        <f t="shared" si="52"/>
        <v>0.1123</v>
      </c>
      <c r="DD167" s="24">
        <f t="shared" si="53"/>
        <v>0.4476</v>
      </c>
      <c r="DE167" s="24">
        <f t="shared" si="55"/>
        <v>0.40549999999999997</v>
      </c>
      <c r="DG167" s="5" t="e">
        <f t="shared" si="54"/>
        <v>#DIV/0!</v>
      </c>
    </row>
    <row r="168" spans="1:111">
      <c r="A168" s="54">
        <v>459142</v>
      </c>
      <c r="B168" s="52" t="s">
        <v>298</v>
      </c>
      <c r="C168" s="52" t="s">
        <v>299</v>
      </c>
      <c r="D168" t="s">
        <v>300</v>
      </c>
      <c r="F168" s="52" t="s">
        <v>123</v>
      </c>
      <c r="G168" s="52">
        <v>20.09</v>
      </c>
      <c r="H168" s="52">
        <v>10.41</v>
      </c>
      <c r="I168" s="52">
        <v>3.94</v>
      </c>
      <c r="K168" s="52">
        <v>12.24</v>
      </c>
      <c r="L168" s="52"/>
      <c r="M168" s="52">
        <v>2.21</v>
      </c>
      <c r="N168" s="52">
        <v>8.4000000000000005E-2</v>
      </c>
      <c r="O168" s="52">
        <v>30.27</v>
      </c>
      <c r="Q168" s="52">
        <v>0.121</v>
      </c>
      <c r="T168" s="50"/>
      <c r="X168" s="52">
        <v>20.75</v>
      </c>
      <c r="AB168" s="52">
        <v>0.371</v>
      </c>
      <c r="BG168">
        <f t="shared" si="73"/>
        <v>0</v>
      </c>
      <c r="BH168">
        <f t="shared" si="74"/>
        <v>0</v>
      </c>
      <c r="BI168">
        <f t="shared" si="75"/>
        <v>0</v>
      </c>
      <c r="BJ168">
        <f t="shared" si="76"/>
        <v>0</v>
      </c>
      <c r="BK168">
        <f t="shared" si="77"/>
        <v>0</v>
      </c>
      <c r="BL168">
        <f t="shared" si="78"/>
        <v>0</v>
      </c>
      <c r="BM168">
        <f t="shared" si="79"/>
        <v>0</v>
      </c>
      <c r="BN168">
        <f t="shared" si="80"/>
        <v>0</v>
      </c>
      <c r="BO168">
        <f t="shared" si="81"/>
        <v>0</v>
      </c>
      <c r="BP168">
        <f t="shared" si="82"/>
        <v>0</v>
      </c>
      <c r="BQ168">
        <f t="shared" si="83"/>
        <v>0</v>
      </c>
      <c r="BR168">
        <f t="shared" si="84"/>
        <v>0</v>
      </c>
      <c r="BS168">
        <f t="shared" si="85"/>
        <v>0</v>
      </c>
      <c r="BT168">
        <f t="shared" si="86"/>
        <v>0</v>
      </c>
      <c r="BU168" t="e">
        <f t="shared" si="70"/>
        <v>#DIV/0!</v>
      </c>
      <c r="BV168" t="e">
        <f t="shared" si="71"/>
        <v>#DIV/0!</v>
      </c>
      <c r="BX168" t="e">
        <f t="shared" si="72"/>
        <v>#DIV/0!</v>
      </c>
      <c r="BZ168" t="s">
        <v>173</v>
      </c>
      <c r="CA168" t="s">
        <v>173</v>
      </c>
      <c r="CB168" t="s">
        <v>173</v>
      </c>
      <c r="CC168" t="s">
        <v>173</v>
      </c>
      <c r="CD168" t="s">
        <v>173</v>
      </c>
      <c r="CE168" t="s">
        <v>173</v>
      </c>
      <c r="CF168">
        <v>0.20880000000000001</v>
      </c>
      <c r="CG168">
        <v>0.2462</v>
      </c>
      <c r="CH168" t="s">
        <v>173</v>
      </c>
      <c r="CI168">
        <v>0.13450000000000001</v>
      </c>
      <c r="CJ168" s="24">
        <v>0</v>
      </c>
      <c r="CK168">
        <v>0.14499999999999999</v>
      </c>
      <c r="CL168">
        <v>1.0500000000000001E-2</v>
      </c>
      <c r="CM168">
        <v>0.23430000000000001</v>
      </c>
      <c r="CN168">
        <v>0</v>
      </c>
      <c r="CO168" t="s">
        <v>173</v>
      </c>
      <c r="CP168" t="s">
        <v>173</v>
      </c>
      <c r="CQ168" t="s">
        <v>173</v>
      </c>
      <c r="CR168" t="s">
        <v>173</v>
      </c>
      <c r="CS168" t="s">
        <v>173</v>
      </c>
      <c r="CT168" t="s">
        <v>173</v>
      </c>
      <c r="CU168" t="s">
        <v>173</v>
      </c>
      <c r="CV168" t="s">
        <v>173</v>
      </c>
      <c r="CW168" t="s">
        <v>173</v>
      </c>
      <c r="CX168">
        <v>0</v>
      </c>
      <c r="CY168">
        <v>0</v>
      </c>
      <c r="CZ168" t="s">
        <v>173</v>
      </c>
      <c r="DA168" t="s">
        <v>173</v>
      </c>
      <c r="DB168" t="s">
        <v>173</v>
      </c>
      <c r="DC168" s="24">
        <f t="shared" si="52"/>
        <v>0.13450000000000001</v>
      </c>
      <c r="DD168" s="24">
        <f t="shared" si="53"/>
        <v>0.45500000000000002</v>
      </c>
      <c r="DE168" s="24">
        <f t="shared" si="55"/>
        <v>0.37929999999999997</v>
      </c>
      <c r="DG168" s="5" t="e">
        <f t="shared" si="54"/>
        <v>#DIV/0!</v>
      </c>
    </row>
    <row r="169" spans="1:111">
      <c r="A169" s="50"/>
      <c r="B169" s="50"/>
      <c r="C169" s="50"/>
      <c r="D169" t="s">
        <v>300</v>
      </c>
      <c r="F169" s="50"/>
      <c r="G169" s="50"/>
      <c r="H169" s="50"/>
      <c r="I169" s="50"/>
      <c r="K169" s="50"/>
      <c r="L169" s="50"/>
      <c r="M169" s="50"/>
      <c r="N169" s="50"/>
      <c r="O169" s="50"/>
      <c r="Q169" s="49"/>
      <c r="T169" s="50"/>
      <c r="X169" s="50"/>
      <c r="AB169" s="50"/>
      <c r="BG169">
        <f t="shared" si="73"/>
        <v>0</v>
      </c>
      <c r="BH169">
        <f t="shared" si="74"/>
        <v>0</v>
      </c>
      <c r="BI169">
        <f t="shared" si="75"/>
        <v>0</v>
      </c>
      <c r="BJ169">
        <f t="shared" si="76"/>
        <v>0</v>
      </c>
      <c r="BK169">
        <f t="shared" si="77"/>
        <v>0</v>
      </c>
      <c r="BL169">
        <f t="shared" si="78"/>
        <v>0</v>
      </c>
      <c r="BM169">
        <f t="shared" si="79"/>
        <v>0</v>
      </c>
      <c r="BN169">
        <f t="shared" si="80"/>
        <v>0</v>
      </c>
      <c r="BO169">
        <f t="shared" si="81"/>
        <v>0</v>
      </c>
      <c r="BP169">
        <f t="shared" si="82"/>
        <v>0</v>
      </c>
      <c r="BQ169">
        <f t="shared" si="83"/>
        <v>0</v>
      </c>
      <c r="BR169">
        <f t="shared" si="84"/>
        <v>0</v>
      </c>
      <c r="BS169">
        <f t="shared" si="85"/>
        <v>0</v>
      </c>
      <c r="BT169">
        <f t="shared" si="86"/>
        <v>0</v>
      </c>
      <c r="BU169" t="e">
        <f t="shared" si="70"/>
        <v>#DIV/0!</v>
      </c>
      <c r="BV169" t="e">
        <f t="shared" si="71"/>
        <v>#DIV/0!</v>
      </c>
      <c r="BX169" t="e">
        <f t="shared" si="72"/>
        <v>#DIV/0!</v>
      </c>
      <c r="BZ169" t="e">
        <v>#DIV/0!</v>
      </c>
      <c r="CA169" t="e">
        <v>#DIV/0!</v>
      </c>
      <c r="CB169" t="e">
        <v>#DIV/0!</v>
      </c>
      <c r="CC169" t="e">
        <v>#DIV/0!</v>
      </c>
      <c r="CD169" t="e">
        <v>#DIV/0!</v>
      </c>
      <c r="CE169" t="e">
        <v>#DIV/0!</v>
      </c>
      <c r="CF169" t="e">
        <v>#DIV/0!</v>
      </c>
      <c r="CG169" t="e">
        <v>#DIV/0!</v>
      </c>
      <c r="CH169" t="e">
        <v>#DIV/0!</v>
      </c>
      <c r="CI169" t="e">
        <v>#DIV/0!</v>
      </c>
      <c r="CJ169" s="24">
        <v>0</v>
      </c>
      <c r="CK169" t="e">
        <v>#DIV/0!</v>
      </c>
      <c r="CL169" t="e">
        <v>#DIV/0!</v>
      </c>
      <c r="CM169" t="e">
        <v>#DIV/0!</v>
      </c>
      <c r="CN169" t="e">
        <v>#DIV/0!</v>
      </c>
      <c r="CO169" t="e">
        <v>#DIV/0!</v>
      </c>
      <c r="CP169" t="e">
        <v>#DIV/0!</v>
      </c>
      <c r="CQ169" t="e">
        <v>#DIV/0!</v>
      </c>
      <c r="CR169" t="e">
        <v>#DIV/0!</v>
      </c>
      <c r="CS169" t="e">
        <v>#DIV/0!</v>
      </c>
      <c r="CT169" t="e">
        <v>#DIV/0!</v>
      </c>
      <c r="CU169" t="e">
        <v>#DIV/0!</v>
      </c>
      <c r="CV169" t="e">
        <v>#DIV/0!</v>
      </c>
      <c r="CW169" t="e">
        <v>#DIV/0!</v>
      </c>
      <c r="CX169">
        <v>0</v>
      </c>
      <c r="CZ169" t="e">
        <v>#DIV/0!</v>
      </c>
      <c r="DA169" t="e">
        <v>#DIV/0!</v>
      </c>
      <c r="DB169" t="e">
        <v>#DIV/0!</v>
      </c>
      <c r="DC169" s="24" t="e">
        <f t="shared" si="52"/>
        <v>#DIV/0!</v>
      </c>
      <c r="DD169" s="24" t="e">
        <f t="shared" si="53"/>
        <v>#DIV/0!</v>
      </c>
      <c r="DE169" s="24" t="e">
        <f t="shared" si="55"/>
        <v>#DIV/0!</v>
      </c>
      <c r="DG169" s="5" t="e">
        <f t="shared" si="54"/>
        <v>#DIV/0!</v>
      </c>
    </row>
    <row r="170" spans="1:111">
      <c r="A170" s="54">
        <v>459142</v>
      </c>
      <c r="B170" s="52" t="s">
        <v>298</v>
      </c>
      <c r="C170" s="52" t="s">
        <v>299</v>
      </c>
      <c r="D170" t="s">
        <v>300</v>
      </c>
      <c r="F170" s="52" t="s">
        <v>122</v>
      </c>
      <c r="G170" s="52">
        <v>19.940000000000001</v>
      </c>
      <c r="H170" s="52">
        <v>10.3</v>
      </c>
      <c r="I170" s="52">
        <v>3.96</v>
      </c>
      <c r="K170" s="52">
        <v>12.22</v>
      </c>
      <c r="L170" s="52"/>
      <c r="M170" s="52">
        <v>2.17</v>
      </c>
      <c r="N170" s="52">
        <v>9.7000000000000003E-2</v>
      </c>
      <c r="O170" s="52">
        <v>30.34</v>
      </c>
      <c r="Q170" s="52">
        <v>0.115</v>
      </c>
      <c r="T170" s="50"/>
      <c r="X170" s="52">
        <v>21.01</v>
      </c>
      <c r="AB170" s="52">
        <v>0.34799999999999998</v>
      </c>
      <c r="AG170" s="47"/>
      <c r="AH170" s="47"/>
      <c r="AI170" s="47"/>
      <c r="AJ170" s="55"/>
      <c r="AK170" s="47"/>
      <c r="AL170" s="55"/>
      <c r="AM170" s="47"/>
      <c r="AN170" s="47"/>
      <c r="AO170" s="47"/>
      <c r="AP170" s="47"/>
      <c r="AQ170" s="55"/>
      <c r="AR170" s="47"/>
      <c r="AS170" s="47"/>
      <c r="AT170" s="47"/>
      <c r="AU170" s="47"/>
      <c r="AV170" s="47"/>
      <c r="AW170" s="47"/>
      <c r="AX170" s="55"/>
      <c r="AY170" s="47"/>
      <c r="AZ170" s="55"/>
      <c r="BA170" s="47"/>
      <c r="BB170" s="55"/>
      <c r="BC170" s="47"/>
      <c r="BD170" s="47"/>
      <c r="BG170" t="e">
        <f>#REF!/BG$2</f>
        <v>#REF!</v>
      </c>
      <c r="BH170" t="e">
        <f>#REF!/BH$2</f>
        <v>#REF!</v>
      </c>
      <c r="BI170" t="e">
        <f>#REF!/BI$2</f>
        <v>#REF!</v>
      </c>
      <c r="BJ170" t="e">
        <f>#REF!/BJ$2</f>
        <v>#REF!</v>
      </c>
      <c r="BK170" t="e">
        <f>#REF!/BK$2</f>
        <v>#REF!</v>
      </c>
      <c r="BL170" t="e">
        <f>#REF!/BL$2</f>
        <v>#REF!</v>
      </c>
      <c r="BM170" t="e">
        <f>#REF!/BM$2</f>
        <v>#REF!</v>
      </c>
      <c r="BN170" t="e">
        <f>#REF!/BN$2</f>
        <v>#REF!</v>
      </c>
      <c r="BO170" t="e">
        <f>#REF!/BO$2</f>
        <v>#REF!</v>
      </c>
      <c r="BP170" t="e">
        <f>#REF!/BP$2</f>
        <v>#REF!</v>
      </c>
      <c r="BQ170" t="e">
        <f>#REF!/BQ$2</f>
        <v>#REF!</v>
      </c>
      <c r="BR170" t="e">
        <f>#REF!/BR$2</f>
        <v>#REF!</v>
      </c>
      <c r="BS170" t="e">
        <f>#REF!/BS$2</f>
        <v>#REF!</v>
      </c>
      <c r="BT170" t="e">
        <f>#REF!/BT$2</f>
        <v>#REF!</v>
      </c>
      <c r="BU170" t="e">
        <f t="shared" si="70"/>
        <v>#REF!</v>
      </c>
      <c r="BV170" t="e">
        <f t="shared" si="71"/>
        <v>#REF!</v>
      </c>
      <c r="BX170" t="e">
        <f t="shared" si="72"/>
        <v>#REF!</v>
      </c>
      <c r="BZ170" t="s">
        <v>173</v>
      </c>
      <c r="CA170" t="s">
        <v>173</v>
      </c>
      <c r="CB170" t="s">
        <v>173</v>
      </c>
      <c r="CC170" t="s">
        <v>173</v>
      </c>
      <c r="CD170" t="s">
        <v>173</v>
      </c>
      <c r="CE170" t="s">
        <v>173</v>
      </c>
      <c r="CF170">
        <v>0.21010000000000001</v>
      </c>
      <c r="CG170">
        <v>0.251</v>
      </c>
      <c r="CH170" t="s">
        <v>173</v>
      </c>
      <c r="CI170">
        <v>0.1341</v>
      </c>
      <c r="CJ170" s="24">
        <v>0</v>
      </c>
      <c r="CK170">
        <v>0.1351</v>
      </c>
      <c r="CL170">
        <v>0.01</v>
      </c>
      <c r="CM170">
        <v>0.2417</v>
      </c>
      <c r="CN170">
        <v>0</v>
      </c>
      <c r="CO170" t="s">
        <v>173</v>
      </c>
      <c r="CP170" t="s">
        <v>173</v>
      </c>
      <c r="CQ170" t="s">
        <v>173</v>
      </c>
      <c r="CR170" t="s">
        <v>173</v>
      </c>
      <c r="CS170" t="s">
        <v>173</v>
      </c>
      <c r="CT170" t="s">
        <v>173</v>
      </c>
      <c r="CU170" t="s">
        <v>173</v>
      </c>
      <c r="CV170" t="s">
        <v>173</v>
      </c>
      <c r="CW170" t="s">
        <v>173</v>
      </c>
      <c r="CX170">
        <v>0</v>
      </c>
      <c r="CY170">
        <v>0</v>
      </c>
      <c r="CZ170" t="s">
        <v>173</v>
      </c>
      <c r="DA170" t="s">
        <v>173</v>
      </c>
      <c r="DB170" t="s">
        <v>173</v>
      </c>
      <c r="DC170" s="24">
        <f t="shared" si="52"/>
        <v>0.1341</v>
      </c>
      <c r="DD170" s="24">
        <f t="shared" si="53"/>
        <v>0.46110000000000001</v>
      </c>
      <c r="DE170" s="24">
        <f t="shared" si="55"/>
        <v>0.37680000000000002</v>
      </c>
      <c r="DG170" s="5" t="e">
        <f t="shared" si="54"/>
        <v>#DIV/0!</v>
      </c>
    </row>
    <row r="171" spans="1:111">
      <c r="A171" s="48"/>
      <c r="B171" s="48"/>
      <c r="C171" s="48"/>
      <c r="D171" t="s">
        <v>300</v>
      </c>
      <c r="F171" s="48"/>
      <c r="G171" s="50"/>
      <c r="H171" s="50"/>
      <c r="I171" s="50"/>
      <c r="K171" s="50"/>
      <c r="L171" s="50"/>
      <c r="M171" s="50"/>
      <c r="N171" s="50"/>
      <c r="O171" s="50"/>
      <c r="Q171" s="50"/>
      <c r="T171" s="50"/>
      <c r="X171" s="50"/>
      <c r="AB171" s="50"/>
      <c r="AG171" s="47"/>
      <c r="AH171" s="47"/>
      <c r="AI171" s="47"/>
      <c r="AJ171" s="55"/>
      <c r="AK171" s="47"/>
      <c r="AL171" s="55"/>
      <c r="AM171" s="47"/>
      <c r="AN171" s="47"/>
      <c r="AO171" s="47"/>
      <c r="AP171" s="47"/>
      <c r="AQ171" s="55"/>
      <c r="AR171" s="47"/>
      <c r="AS171" s="47"/>
      <c r="AT171" s="47"/>
      <c r="AU171" s="47"/>
      <c r="AV171" s="47"/>
      <c r="AW171" s="47"/>
      <c r="AX171" s="55"/>
      <c r="AY171" s="47"/>
      <c r="AZ171" s="55"/>
      <c r="BA171" s="47"/>
      <c r="BB171" s="55"/>
      <c r="BC171" s="47"/>
      <c r="BD171" s="47"/>
      <c r="BG171" t="e">
        <f>#REF!/BG$2</f>
        <v>#REF!</v>
      </c>
      <c r="BH171" t="e">
        <f>#REF!/BH$2</f>
        <v>#REF!</v>
      </c>
      <c r="BI171" t="e">
        <f>#REF!/BI$2</f>
        <v>#REF!</v>
      </c>
      <c r="BJ171" t="e">
        <f>#REF!/BJ$2</f>
        <v>#REF!</v>
      </c>
      <c r="BK171" t="e">
        <f>#REF!/BK$2</f>
        <v>#REF!</v>
      </c>
      <c r="BL171" t="e">
        <f>#REF!/BL$2</f>
        <v>#REF!</v>
      </c>
      <c r="BM171" t="e">
        <f>#REF!/BM$2</f>
        <v>#REF!</v>
      </c>
      <c r="BN171" t="e">
        <f>#REF!/BN$2</f>
        <v>#REF!</v>
      </c>
      <c r="BO171" t="e">
        <f>#REF!/BO$2</f>
        <v>#REF!</v>
      </c>
      <c r="BP171" t="e">
        <f>#REF!/BP$2</f>
        <v>#REF!</v>
      </c>
      <c r="BQ171" t="e">
        <f>#REF!/BQ$2</f>
        <v>#REF!</v>
      </c>
      <c r="BR171" t="e">
        <f>#REF!/BR$2</f>
        <v>#REF!</v>
      </c>
      <c r="BS171" t="e">
        <f>#REF!/BS$2</f>
        <v>#REF!</v>
      </c>
      <c r="BT171" t="e">
        <f>#REF!/BT$2</f>
        <v>#REF!</v>
      </c>
      <c r="BU171" t="e">
        <f t="shared" si="70"/>
        <v>#REF!</v>
      </c>
      <c r="BV171" t="e">
        <f t="shared" si="71"/>
        <v>#REF!</v>
      </c>
      <c r="BX171" t="e">
        <f t="shared" si="72"/>
        <v>#REF!</v>
      </c>
      <c r="BZ171" t="e">
        <v>#DIV/0!</v>
      </c>
      <c r="CA171" t="e">
        <v>#DIV/0!</v>
      </c>
      <c r="CB171" t="e">
        <v>#DIV/0!</v>
      </c>
      <c r="CC171" t="e">
        <v>#DIV/0!</v>
      </c>
      <c r="CD171" t="e">
        <v>#DIV/0!</v>
      </c>
      <c r="CE171" t="e">
        <v>#DIV/0!</v>
      </c>
      <c r="CF171" t="e">
        <v>#DIV/0!</v>
      </c>
      <c r="CG171" t="e">
        <v>#DIV/0!</v>
      </c>
      <c r="CH171" t="e">
        <v>#DIV/0!</v>
      </c>
      <c r="CI171" t="e">
        <v>#DIV/0!</v>
      </c>
      <c r="CJ171" s="24">
        <v>0</v>
      </c>
      <c r="CK171" t="e">
        <v>#DIV/0!</v>
      </c>
      <c r="CL171" t="e">
        <v>#DIV/0!</v>
      </c>
      <c r="CM171" t="e">
        <v>#DIV/0!</v>
      </c>
      <c r="CN171" t="e">
        <v>#DIV/0!</v>
      </c>
      <c r="CO171" t="e">
        <v>#DIV/0!</v>
      </c>
      <c r="CP171" t="e">
        <v>#DIV/0!</v>
      </c>
      <c r="CQ171" t="e">
        <v>#DIV/0!</v>
      </c>
      <c r="CR171" t="e">
        <v>#DIV/0!</v>
      </c>
      <c r="CS171" t="e">
        <v>#DIV/0!</v>
      </c>
      <c r="CT171" t="e">
        <v>#DIV/0!</v>
      </c>
      <c r="CU171" t="e">
        <v>#DIV/0!</v>
      </c>
      <c r="CV171" t="e">
        <v>#DIV/0!</v>
      </c>
      <c r="CW171" t="e">
        <v>#DIV/0!</v>
      </c>
      <c r="CX171">
        <v>0</v>
      </c>
      <c r="CZ171" t="e">
        <v>#DIV/0!</v>
      </c>
      <c r="DA171" t="e">
        <v>#DIV/0!</v>
      </c>
      <c r="DB171" t="e">
        <v>#DIV/0!</v>
      </c>
      <c r="DC171" s="24" t="e">
        <f t="shared" si="52"/>
        <v>#DIV/0!</v>
      </c>
      <c r="DD171" s="24" t="e">
        <f t="shared" si="53"/>
        <v>#DIV/0!</v>
      </c>
      <c r="DE171" s="24" t="e">
        <f t="shared" si="55"/>
        <v>#DIV/0!</v>
      </c>
      <c r="DG171" s="5" t="e">
        <f t="shared" si="54"/>
        <v>#DIV/0!</v>
      </c>
    </row>
    <row r="172" spans="1:111">
      <c r="A172" s="54">
        <v>459142</v>
      </c>
      <c r="B172" s="52" t="s">
        <v>298</v>
      </c>
      <c r="C172" s="52" t="s">
        <v>299</v>
      </c>
      <c r="D172" t="s">
        <v>300</v>
      </c>
      <c r="F172" s="52" t="s">
        <v>122</v>
      </c>
      <c r="G172" s="52">
        <v>19.14</v>
      </c>
      <c r="H172" s="52">
        <v>14.32</v>
      </c>
      <c r="I172" s="52">
        <v>3.68</v>
      </c>
      <c r="K172" s="52">
        <v>11.23</v>
      </c>
      <c r="L172" s="52"/>
      <c r="M172" s="52">
        <v>2.2000000000000002</v>
      </c>
      <c r="N172" s="52">
        <v>8.2000000000000003E-2</v>
      </c>
      <c r="O172" s="52">
        <v>31.18</v>
      </c>
      <c r="Q172" s="52">
        <v>0.125</v>
      </c>
      <c r="T172" s="50"/>
      <c r="X172" s="52">
        <v>18.920000000000002</v>
      </c>
      <c r="AB172" s="52">
        <v>0.42299999999999999</v>
      </c>
      <c r="AG172" s="47"/>
      <c r="AH172" s="47"/>
      <c r="AI172" s="47"/>
      <c r="AJ172" s="55"/>
      <c r="AK172" s="47"/>
      <c r="AL172" s="55"/>
      <c r="AM172" s="47"/>
      <c r="AN172" s="47"/>
      <c r="AO172" s="47"/>
      <c r="AP172" s="47"/>
      <c r="AQ172" s="55"/>
      <c r="AR172" s="47"/>
      <c r="AS172" s="47"/>
      <c r="AT172" s="47"/>
      <c r="AU172" s="47"/>
      <c r="AV172" s="47"/>
      <c r="AW172" s="47"/>
      <c r="AX172" s="55"/>
      <c r="AY172" s="47"/>
      <c r="AZ172" s="55"/>
      <c r="BA172" s="47"/>
      <c r="BB172" s="55"/>
      <c r="BC172" s="47"/>
      <c r="BD172" s="47"/>
      <c r="BG172" t="e">
        <f>#REF!/BG$2</f>
        <v>#REF!</v>
      </c>
      <c r="BH172" t="e">
        <f>#REF!/BH$2</f>
        <v>#REF!</v>
      </c>
      <c r="BI172" t="e">
        <f>#REF!/BI$2</f>
        <v>#REF!</v>
      </c>
      <c r="BJ172" t="e">
        <f>#REF!/BJ$2</f>
        <v>#REF!</v>
      </c>
      <c r="BK172" t="e">
        <f>#REF!/BK$2</f>
        <v>#REF!</v>
      </c>
      <c r="BL172" t="e">
        <f>#REF!/BL$2</f>
        <v>#REF!</v>
      </c>
      <c r="BM172" t="e">
        <f>#REF!/BM$2</f>
        <v>#REF!</v>
      </c>
      <c r="BN172" t="e">
        <f>#REF!/BN$2</f>
        <v>#REF!</v>
      </c>
      <c r="BO172" t="e">
        <f>#REF!/BO$2</f>
        <v>#REF!</v>
      </c>
      <c r="BP172" t="e">
        <f>#REF!/BP$2</f>
        <v>#REF!</v>
      </c>
      <c r="BQ172" t="e">
        <f>#REF!/BQ$2</f>
        <v>#REF!</v>
      </c>
      <c r="BR172" t="e">
        <f>#REF!/BR$2</f>
        <v>#REF!</v>
      </c>
      <c r="BS172" t="e">
        <f>#REF!/BS$2</f>
        <v>#REF!</v>
      </c>
      <c r="BT172" t="e">
        <f>#REF!/BT$2</f>
        <v>#REF!</v>
      </c>
      <c r="BU172" t="e">
        <f t="shared" si="70"/>
        <v>#REF!</v>
      </c>
      <c r="BV172" t="e">
        <f t="shared" si="71"/>
        <v>#REF!</v>
      </c>
      <c r="BX172" t="e">
        <f t="shared" si="72"/>
        <v>#REF!</v>
      </c>
      <c r="BZ172" t="s">
        <v>173</v>
      </c>
      <c r="CA172" t="s">
        <v>173</v>
      </c>
      <c r="CB172" t="s">
        <v>173</v>
      </c>
      <c r="CC172" t="s">
        <v>173</v>
      </c>
      <c r="CD172" t="s">
        <v>173</v>
      </c>
      <c r="CE172" t="s">
        <v>173</v>
      </c>
      <c r="CF172">
        <v>0.193</v>
      </c>
      <c r="CG172">
        <v>0.21759999999999999</v>
      </c>
      <c r="CH172" t="s">
        <v>173</v>
      </c>
      <c r="CI172">
        <v>0.11600000000000001</v>
      </c>
      <c r="CJ172" s="24">
        <v>0</v>
      </c>
      <c r="CK172">
        <v>0</v>
      </c>
      <c r="CL172">
        <v>1.0800000000000001E-2</v>
      </c>
      <c r="CM172">
        <v>0.29199999999999998</v>
      </c>
      <c r="CN172">
        <v>0</v>
      </c>
      <c r="CO172" t="s">
        <v>173</v>
      </c>
      <c r="CP172" t="s">
        <v>173</v>
      </c>
      <c r="CQ172" t="s">
        <v>173</v>
      </c>
      <c r="CR172" t="s">
        <v>173</v>
      </c>
      <c r="CS172" t="s">
        <v>173</v>
      </c>
      <c r="CT172" t="s">
        <v>173</v>
      </c>
      <c r="CU172" t="s">
        <v>173</v>
      </c>
      <c r="CV172" t="s">
        <v>173</v>
      </c>
      <c r="CW172" t="s">
        <v>173</v>
      </c>
      <c r="CX172">
        <v>0</v>
      </c>
      <c r="CY172">
        <v>0</v>
      </c>
      <c r="CZ172" t="s">
        <v>173</v>
      </c>
      <c r="DA172" t="s">
        <v>173</v>
      </c>
      <c r="DB172" t="s">
        <v>173</v>
      </c>
      <c r="DC172" s="24">
        <f t="shared" si="52"/>
        <v>0.11600000000000001</v>
      </c>
      <c r="DD172" s="24">
        <f t="shared" si="53"/>
        <v>0.41059999999999997</v>
      </c>
      <c r="DE172" s="24">
        <f t="shared" si="55"/>
        <v>0.29199999999999998</v>
      </c>
      <c r="DG172" s="5" t="e">
        <f t="shared" si="54"/>
        <v>#DIV/0!</v>
      </c>
    </row>
    <row r="173" spans="1:111" ht="15.5">
      <c r="A173" s="54">
        <v>459142</v>
      </c>
      <c r="B173" s="52" t="s">
        <v>298</v>
      </c>
      <c r="C173" s="52" t="s">
        <v>299</v>
      </c>
      <c r="D173" t="s">
        <v>300</v>
      </c>
      <c r="F173" s="52" t="s">
        <v>122</v>
      </c>
      <c r="G173" s="52">
        <v>18.32</v>
      </c>
      <c r="H173" s="52">
        <v>10.61</v>
      </c>
      <c r="I173" s="52">
        <v>4.4400000000000004</v>
      </c>
      <c r="K173" s="52">
        <v>12.27</v>
      </c>
      <c r="L173" s="52"/>
      <c r="M173" s="52">
        <v>1.75</v>
      </c>
      <c r="N173" s="52">
        <v>7.0999999999999994E-2</v>
      </c>
      <c r="O173" s="52">
        <v>30.1</v>
      </c>
      <c r="Q173" s="52">
        <v>0.08</v>
      </c>
      <c r="T173" s="50"/>
      <c r="X173" s="52">
        <v>22.25</v>
      </c>
      <c r="AB173" s="52">
        <v>0.35599999999999998</v>
      </c>
      <c r="AG173" s="57"/>
      <c r="AH173" s="57"/>
      <c r="AI173" s="57"/>
      <c r="AJ173" s="57"/>
      <c r="AK173" s="58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G173" t="e">
        <f>#REF!/BG$2</f>
        <v>#REF!</v>
      </c>
      <c r="BH173" t="e">
        <f>#REF!/BH$2</f>
        <v>#REF!</v>
      </c>
      <c r="BI173" t="e">
        <f>#REF!/BI$2</f>
        <v>#REF!</v>
      </c>
      <c r="BJ173" t="e">
        <f>#REF!/BJ$2</f>
        <v>#REF!</v>
      </c>
      <c r="BK173" t="e">
        <f>#REF!/BK$2</f>
        <v>#REF!</v>
      </c>
      <c r="BL173" t="e">
        <f>#REF!/BL$2</f>
        <v>#REF!</v>
      </c>
      <c r="BM173" t="e">
        <f>#REF!/BM$2</f>
        <v>#REF!</v>
      </c>
      <c r="BN173" t="e">
        <f>#REF!/BN$2</f>
        <v>#REF!</v>
      </c>
      <c r="BO173" t="e">
        <f>#REF!/BO$2</f>
        <v>#REF!</v>
      </c>
      <c r="BP173" t="e">
        <f>#REF!/BP$2</f>
        <v>#REF!</v>
      </c>
      <c r="BQ173" t="e">
        <f>#REF!/BQ$2</f>
        <v>#REF!</v>
      </c>
      <c r="BR173" t="e">
        <f>#REF!/BR$2</f>
        <v>#REF!</v>
      </c>
      <c r="BS173" t="e">
        <f>#REF!/BS$2</f>
        <v>#REF!</v>
      </c>
      <c r="BT173" t="e">
        <f>#REF!/BT$2</f>
        <v>#REF!</v>
      </c>
      <c r="BU173" t="e">
        <f t="shared" si="70"/>
        <v>#REF!</v>
      </c>
      <c r="BV173" t="e">
        <f t="shared" si="71"/>
        <v>#REF!</v>
      </c>
      <c r="BX173" t="e">
        <f t="shared" si="72"/>
        <v>#REF!</v>
      </c>
      <c r="BZ173" t="s">
        <v>173</v>
      </c>
      <c r="CA173" t="s">
        <v>173</v>
      </c>
      <c r="CB173" t="s">
        <v>173</v>
      </c>
      <c r="CC173" t="s">
        <v>173</v>
      </c>
      <c r="CD173" t="s">
        <v>173</v>
      </c>
      <c r="CE173" t="s">
        <v>173</v>
      </c>
      <c r="CF173">
        <v>0.23860000000000001</v>
      </c>
      <c r="CG173">
        <v>0.25609999999999999</v>
      </c>
      <c r="CH173" t="s">
        <v>173</v>
      </c>
      <c r="CI173">
        <v>0.1242</v>
      </c>
      <c r="CJ173" s="24">
        <v>0</v>
      </c>
      <c r="CK173">
        <v>8.3799999999999999E-2</v>
      </c>
      <c r="CL173">
        <v>7.1000000000000004E-3</v>
      </c>
      <c r="CM173">
        <v>0.1988</v>
      </c>
      <c r="CN173">
        <v>0</v>
      </c>
      <c r="CO173" t="s">
        <v>173</v>
      </c>
      <c r="CP173" t="s">
        <v>173</v>
      </c>
      <c r="CQ173" t="s">
        <v>173</v>
      </c>
      <c r="CR173" t="s">
        <v>173</v>
      </c>
      <c r="CS173" t="s">
        <v>173</v>
      </c>
      <c r="CT173" t="s">
        <v>173</v>
      </c>
      <c r="CU173" t="s">
        <v>173</v>
      </c>
      <c r="CV173" t="s">
        <v>173</v>
      </c>
      <c r="CW173" t="s">
        <v>173</v>
      </c>
      <c r="CX173">
        <v>0</v>
      </c>
      <c r="CY173">
        <v>0</v>
      </c>
      <c r="CZ173" t="s">
        <v>173</v>
      </c>
      <c r="DA173" t="s">
        <v>173</v>
      </c>
      <c r="DB173" t="s">
        <v>173</v>
      </c>
      <c r="DC173" s="24">
        <f t="shared" si="52"/>
        <v>0.1242</v>
      </c>
      <c r="DD173" s="24">
        <f t="shared" si="53"/>
        <v>0.49470000000000003</v>
      </c>
      <c r="DE173" s="24">
        <f t="shared" si="55"/>
        <v>0.28260000000000002</v>
      </c>
      <c r="DG173" s="5" t="e">
        <f t="shared" si="54"/>
        <v>#DIV/0!</v>
      </c>
    </row>
    <row r="174" spans="1:111" ht="15.5">
      <c r="A174" s="47"/>
      <c r="B174" s="47"/>
      <c r="C174" s="47"/>
      <c r="D174" t="s">
        <v>300</v>
      </c>
      <c r="F174" s="47"/>
      <c r="G174" s="47"/>
      <c r="H174" s="47"/>
      <c r="I174" s="47"/>
      <c r="K174" s="47"/>
      <c r="L174" s="47"/>
      <c r="M174" s="47"/>
      <c r="N174" s="47"/>
      <c r="O174" s="47"/>
      <c r="Q174" s="47"/>
      <c r="T174" s="50"/>
      <c r="X174" s="47"/>
      <c r="AB174" s="47"/>
      <c r="AG174" s="57"/>
      <c r="AH174" s="57"/>
      <c r="AI174" s="57"/>
      <c r="AJ174" s="57"/>
      <c r="AK174" s="58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G174" t="e">
        <f>#REF!/BG$2</f>
        <v>#REF!</v>
      </c>
      <c r="BH174" t="e">
        <f>#REF!/BH$2</f>
        <v>#REF!</v>
      </c>
      <c r="BI174" t="e">
        <f>#REF!/BI$2</f>
        <v>#REF!</v>
      </c>
      <c r="BJ174" t="e">
        <f>#REF!/BJ$2</f>
        <v>#REF!</v>
      </c>
      <c r="BK174" t="e">
        <f>#REF!/BK$2</f>
        <v>#REF!</v>
      </c>
      <c r="BL174" t="e">
        <f>#REF!/BL$2</f>
        <v>#REF!</v>
      </c>
      <c r="BM174" t="e">
        <f>#REF!/BM$2</f>
        <v>#REF!</v>
      </c>
      <c r="BN174" t="e">
        <f>#REF!/BN$2</f>
        <v>#REF!</v>
      </c>
      <c r="BO174" t="e">
        <f>#REF!/BO$2</f>
        <v>#REF!</v>
      </c>
      <c r="BP174" t="e">
        <f>#REF!/BP$2</f>
        <v>#REF!</v>
      </c>
      <c r="BQ174" t="e">
        <f>#REF!/BQ$2</f>
        <v>#REF!</v>
      </c>
      <c r="BR174" t="e">
        <f>#REF!/BR$2</f>
        <v>#REF!</v>
      </c>
      <c r="BS174" t="e">
        <f>#REF!/BS$2</f>
        <v>#REF!</v>
      </c>
      <c r="BT174" t="e">
        <f>#REF!/BT$2</f>
        <v>#REF!</v>
      </c>
      <c r="BU174" t="e">
        <f t="shared" si="70"/>
        <v>#REF!</v>
      </c>
      <c r="BV174" t="e">
        <f t="shared" si="71"/>
        <v>#REF!</v>
      </c>
      <c r="BX174" t="e">
        <f t="shared" si="72"/>
        <v>#REF!</v>
      </c>
      <c r="BZ174" t="e">
        <v>#DIV/0!</v>
      </c>
      <c r="CA174" t="e">
        <v>#DIV/0!</v>
      </c>
      <c r="CB174" t="e">
        <v>#DIV/0!</v>
      </c>
      <c r="CC174" t="e">
        <v>#DIV/0!</v>
      </c>
      <c r="CD174" t="e">
        <v>#DIV/0!</v>
      </c>
      <c r="CE174" t="e">
        <v>#DIV/0!</v>
      </c>
      <c r="CF174" t="e">
        <v>#DIV/0!</v>
      </c>
      <c r="CG174" t="e">
        <v>#DIV/0!</v>
      </c>
      <c r="CH174" t="e">
        <v>#DIV/0!</v>
      </c>
      <c r="CI174" t="e">
        <v>#DIV/0!</v>
      </c>
      <c r="CJ174" s="24">
        <v>0</v>
      </c>
      <c r="CK174" t="e">
        <v>#DIV/0!</v>
      </c>
      <c r="CL174" t="e">
        <v>#DIV/0!</v>
      </c>
      <c r="CM174" t="e">
        <v>#DIV/0!</v>
      </c>
      <c r="CN174" t="e">
        <v>#DIV/0!</v>
      </c>
      <c r="CO174" t="e">
        <v>#DIV/0!</v>
      </c>
      <c r="CP174" t="e">
        <v>#DIV/0!</v>
      </c>
      <c r="CQ174" t="e">
        <v>#DIV/0!</v>
      </c>
      <c r="CR174" t="e">
        <v>#DIV/0!</v>
      </c>
      <c r="CS174" t="e">
        <v>#DIV/0!</v>
      </c>
      <c r="CT174" t="e">
        <v>#DIV/0!</v>
      </c>
      <c r="CU174" t="e">
        <v>#DIV/0!</v>
      </c>
      <c r="CV174" t="e">
        <v>#DIV/0!</v>
      </c>
      <c r="CW174" t="e">
        <v>#DIV/0!</v>
      </c>
      <c r="CX174">
        <v>0</v>
      </c>
      <c r="CY174">
        <v>0</v>
      </c>
      <c r="CZ174" t="e">
        <v>#DIV/0!</v>
      </c>
      <c r="DA174" t="e">
        <v>#DIV/0!</v>
      </c>
      <c r="DB174" t="e">
        <v>#DIV/0!</v>
      </c>
      <c r="DC174" s="24" t="e">
        <f t="shared" si="52"/>
        <v>#DIV/0!</v>
      </c>
      <c r="DD174" s="24" t="e">
        <f t="shared" si="53"/>
        <v>#DIV/0!</v>
      </c>
      <c r="DE174" s="24" t="e">
        <f t="shared" si="55"/>
        <v>#DIV/0!</v>
      </c>
      <c r="DG174" s="5" t="e">
        <f t="shared" si="54"/>
        <v>#DIV/0!</v>
      </c>
    </row>
    <row r="175" spans="1:111">
      <c r="A175" s="54">
        <v>459142</v>
      </c>
      <c r="B175" s="52" t="s">
        <v>298</v>
      </c>
      <c r="C175" s="52" t="s">
        <v>299</v>
      </c>
      <c r="D175" t="s">
        <v>300</v>
      </c>
      <c r="F175" s="52" t="s">
        <v>122</v>
      </c>
      <c r="G175" s="52">
        <v>17.62</v>
      </c>
      <c r="H175" s="52">
        <v>8.89</v>
      </c>
      <c r="I175" s="52">
        <v>3.5</v>
      </c>
      <c r="K175" s="52">
        <v>11.76</v>
      </c>
      <c r="L175" s="52"/>
      <c r="M175" s="52">
        <v>1.77</v>
      </c>
      <c r="N175" s="52">
        <v>7.6999999999999999E-2</v>
      </c>
      <c r="O175" s="52">
        <v>33.31</v>
      </c>
      <c r="Q175" s="52">
        <v>0.11</v>
      </c>
      <c r="T175" s="50"/>
      <c r="X175" s="52">
        <v>18.48</v>
      </c>
      <c r="AB175" s="52">
        <v>0.26800000000000002</v>
      </c>
      <c r="AG175" s="47"/>
      <c r="AH175" s="47"/>
      <c r="AI175" s="47"/>
      <c r="AJ175" s="55"/>
      <c r="AK175" s="47"/>
      <c r="AL175" s="55"/>
      <c r="AM175" s="47"/>
      <c r="AN175" s="47"/>
      <c r="AO175" s="47"/>
      <c r="AP175" s="47"/>
      <c r="AQ175" s="55"/>
      <c r="AR175" s="47"/>
      <c r="AS175" s="47"/>
      <c r="AT175" s="47"/>
      <c r="AU175" s="47"/>
      <c r="AV175" s="47"/>
      <c r="AW175" s="47"/>
      <c r="AX175" s="55"/>
      <c r="AY175" s="47"/>
      <c r="AZ175" s="55"/>
      <c r="BA175" s="47"/>
      <c r="BB175" s="55"/>
      <c r="BC175" s="47"/>
      <c r="BD175" s="47"/>
      <c r="BG175" t="e">
        <f>#REF!/BG$2</f>
        <v>#REF!</v>
      </c>
      <c r="BH175" t="e">
        <f>#REF!/BH$2</f>
        <v>#REF!</v>
      </c>
      <c r="BI175" t="e">
        <f>#REF!/BI$2</f>
        <v>#REF!</v>
      </c>
      <c r="BJ175" t="e">
        <f>#REF!/BJ$2</f>
        <v>#REF!</v>
      </c>
      <c r="BK175" t="e">
        <f>#REF!/BK$2</f>
        <v>#REF!</v>
      </c>
      <c r="BL175" t="e">
        <f>#REF!/BL$2</f>
        <v>#REF!</v>
      </c>
      <c r="BM175" t="e">
        <f>#REF!/BM$2</f>
        <v>#REF!</v>
      </c>
      <c r="BN175" t="e">
        <f>#REF!/BN$2</f>
        <v>#REF!</v>
      </c>
      <c r="BO175" t="e">
        <f>#REF!/BO$2</f>
        <v>#REF!</v>
      </c>
      <c r="BP175" t="e">
        <f>#REF!/BP$2</f>
        <v>#REF!</v>
      </c>
      <c r="BQ175" t="e">
        <f>#REF!/BQ$2</f>
        <v>#REF!</v>
      </c>
      <c r="BR175" t="e">
        <f>#REF!/BR$2</f>
        <v>#REF!</v>
      </c>
      <c r="BS175" t="e">
        <f>#REF!/BS$2</f>
        <v>#REF!</v>
      </c>
      <c r="BT175" t="e">
        <f>#REF!/BT$2</f>
        <v>#REF!</v>
      </c>
      <c r="BU175" t="e">
        <f t="shared" si="70"/>
        <v>#REF!</v>
      </c>
      <c r="BV175" t="e">
        <f t="shared" si="71"/>
        <v>#REF!</v>
      </c>
      <c r="BX175" t="e">
        <f t="shared" si="72"/>
        <v>#REF!</v>
      </c>
      <c r="BZ175" t="s">
        <v>173</v>
      </c>
      <c r="CA175" t="s">
        <v>173</v>
      </c>
      <c r="CB175" t="s">
        <v>173</v>
      </c>
      <c r="CC175" t="s">
        <v>173</v>
      </c>
      <c r="CD175" t="s">
        <v>173</v>
      </c>
      <c r="CE175" t="s">
        <v>173</v>
      </c>
      <c r="CF175">
        <v>0.19209999999999999</v>
      </c>
      <c r="CG175">
        <v>0.2276</v>
      </c>
      <c r="CH175" t="s">
        <v>173</v>
      </c>
      <c r="CI175">
        <v>0.23050000000000001</v>
      </c>
      <c r="CJ175" s="24">
        <v>0</v>
      </c>
      <c r="CK175">
        <v>0</v>
      </c>
      <c r="CL175">
        <v>9.9000000000000008E-3</v>
      </c>
      <c r="CM175">
        <v>0.1421</v>
      </c>
      <c r="CN175">
        <v>0</v>
      </c>
      <c r="CO175" t="s">
        <v>173</v>
      </c>
      <c r="CP175" t="s">
        <v>173</v>
      </c>
      <c r="CQ175" t="s">
        <v>173</v>
      </c>
      <c r="CR175" t="s">
        <v>173</v>
      </c>
      <c r="CS175" t="s">
        <v>173</v>
      </c>
      <c r="CT175" t="s">
        <v>173</v>
      </c>
      <c r="CU175" t="s">
        <v>173</v>
      </c>
      <c r="CV175" t="s">
        <v>173</v>
      </c>
      <c r="CW175" t="s">
        <v>173</v>
      </c>
      <c r="CX175">
        <v>0</v>
      </c>
      <c r="CY175">
        <v>0</v>
      </c>
      <c r="CZ175" t="s">
        <v>173</v>
      </c>
      <c r="DA175" t="s">
        <v>173</v>
      </c>
      <c r="DB175" t="s">
        <v>173</v>
      </c>
      <c r="DC175" s="24">
        <f t="shared" si="52"/>
        <v>0.23050000000000001</v>
      </c>
      <c r="DD175" s="24">
        <f t="shared" si="53"/>
        <v>0.41969999999999996</v>
      </c>
      <c r="DE175" s="24">
        <f t="shared" si="55"/>
        <v>0.1421</v>
      </c>
      <c r="DG175" s="5" t="e">
        <f t="shared" si="54"/>
        <v>#DIV/0!</v>
      </c>
    </row>
    <row r="176" spans="1:111" ht="15.5">
      <c r="A176" s="48"/>
      <c r="B176" s="48"/>
      <c r="C176" s="48"/>
      <c r="D176" t="s">
        <v>300</v>
      </c>
      <c r="F176" s="48"/>
      <c r="G176" s="50"/>
      <c r="H176" s="50"/>
      <c r="I176" s="50"/>
      <c r="K176" s="50"/>
      <c r="L176" s="50"/>
      <c r="M176" s="50"/>
      <c r="N176" s="50"/>
      <c r="O176" s="50"/>
      <c r="Q176" s="50"/>
      <c r="T176" s="50"/>
      <c r="X176" s="50"/>
      <c r="AB176" s="50"/>
      <c r="AG176" s="57"/>
      <c r="AH176" s="57"/>
      <c r="AI176" s="57"/>
      <c r="AJ176" s="57"/>
      <c r="AK176" s="58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G176" t="e">
        <f>#REF!/BG$2</f>
        <v>#REF!</v>
      </c>
      <c r="BH176" t="e">
        <f>#REF!/BH$2</f>
        <v>#REF!</v>
      </c>
      <c r="BI176" t="e">
        <f>#REF!/BI$2</f>
        <v>#REF!</v>
      </c>
      <c r="BJ176" t="e">
        <f>#REF!/BJ$2</f>
        <v>#REF!</v>
      </c>
      <c r="BK176" t="e">
        <f>#REF!/BK$2</f>
        <v>#REF!</v>
      </c>
      <c r="BL176" t="e">
        <f>#REF!/BL$2</f>
        <v>#REF!</v>
      </c>
      <c r="BM176" t="e">
        <f>#REF!/BM$2</f>
        <v>#REF!</v>
      </c>
      <c r="BN176" t="e">
        <f>#REF!/BN$2</f>
        <v>#REF!</v>
      </c>
      <c r="BO176" t="e">
        <f>#REF!/BO$2</f>
        <v>#REF!</v>
      </c>
      <c r="BP176" t="e">
        <f>#REF!/BP$2</f>
        <v>#REF!</v>
      </c>
      <c r="BQ176" t="e">
        <f>#REF!/BQ$2</f>
        <v>#REF!</v>
      </c>
      <c r="BR176" t="e">
        <f>#REF!/BR$2</f>
        <v>#REF!</v>
      </c>
      <c r="BS176" t="e">
        <f>#REF!/BS$2</f>
        <v>#REF!</v>
      </c>
      <c r="BT176" t="e">
        <f>#REF!/BT$2</f>
        <v>#REF!</v>
      </c>
      <c r="BU176" t="e">
        <f t="shared" si="70"/>
        <v>#REF!</v>
      </c>
      <c r="BV176" t="e">
        <f t="shared" si="71"/>
        <v>#REF!</v>
      </c>
      <c r="BX176" t="e">
        <f t="shared" si="72"/>
        <v>#REF!</v>
      </c>
      <c r="BZ176" t="e">
        <v>#DIV/0!</v>
      </c>
      <c r="CA176" t="e">
        <v>#DIV/0!</v>
      </c>
      <c r="CB176" t="e">
        <v>#DIV/0!</v>
      </c>
      <c r="CC176" t="e">
        <v>#DIV/0!</v>
      </c>
      <c r="CD176" t="e">
        <v>#DIV/0!</v>
      </c>
      <c r="CE176" t="e">
        <v>#DIV/0!</v>
      </c>
      <c r="CF176" t="e">
        <v>#DIV/0!</v>
      </c>
      <c r="CG176" t="e">
        <v>#DIV/0!</v>
      </c>
      <c r="CH176" t="e">
        <v>#DIV/0!</v>
      </c>
      <c r="CI176" t="e">
        <v>#DIV/0!</v>
      </c>
      <c r="CJ176" s="24">
        <v>0</v>
      </c>
      <c r="CK176" t="e">
        <v>#DIV/0!</v>
      </c>
      <c r="CL176" t="e">
        <v>#DIV/0!</v>
      </c>
      <c r="CM176" t="e">
        <v>#DIV/0!</v>
      </c>
      <c r="CN176" t="e">
        <v>#DIV/0!</v>
      </c>
      <c r="CO176" t="e">
        <v>#DIV/0!</v>
      </c>
      <c r="CP176" t="e">
        <v>#DIV/0!</v>
      </c>
      <c r="CQ176" t="e">
        <v>#DIV/0!</v>
      </c>
      <c r="CR176" t="e">
        <v>#DIV/0!</v>
      </c>
      <c r="CS176" t="e">
        <v>#DIV/0!</v>
      </c>
      <c r="CT176" t="e">
        <v>#DIV/0!</v>
      </c>
      <c r="CU176" t="e">
        <v>#DIV/0!</v>
      </c>
      <c r="CV176" t="e">
        <v>#DIV/0!</v>
      </c>
      <c r="CW176" t="e">
        <v>#DIV/0!</v>
      </c>
      <c r="CX176">
        <v>0</v>
      </c>
      <c r="CY176">
        <v>0</v>
      </c>
      <c r="CZ176" t="e">
        <v>#DIV/0!</v>
      </c>
      <c r="DA176" t="e">
        <v>#DIV/0!</v>
      </c>
      <c r="DB176" t="e">
        <v>#DIV/0!</v>
      </c>
      <c r="DC176" s="24" t="e">
        <f t="shared" si="52"/>
        <v>#DIV/0!</v>
      </c>
      <c r="DD176" s="24" t="e">
        <f t="shared" si="53"/>
        <v>#DIV/0!</v>
      </c>
      <c r="DE176" s="24" t="e">
        <f t="shared" si="55"/>
        <v>#DIV/0!</v>
      </c>
      <c r="DG176" s="5" t="e">
        <f t="shared" si="54"/>
        <v>#DIV/0!</v>
      </c>
    </row>
    <row r="177" spans="1:111">
      <c r="A177" s="54">
        <v>459142</v>
      </c>
      <c r="B177" s="52" t="s">
        <v>298</v>
      </c>
      <c r="C177" s="52" t="s">
        <v>299</v>
      </c>
      <c r="D177" t="s">
        <v>300</v>
      </c>
      <c r="F177" s="52" t="s">
        <v>122</v>
      </c>
      <c r="G177" s="52">
        <v>20.399999999999999</v>
      </c>
      <c r="H177" s="52">
        <v>10.31</v>
      </c>
      <c r="I177" s="52">
        <v>3.71</v>
      </c>
      <c r="K177" s="52">
        <v>12.19</v>
      </c>
      <c r="L177" s="52"/>
      <c r="M177" s="52">
        <v>2.36</v>
      </c>
      <c r="N177" s="52">
        <v>0.08</v>
      </c>
      <c r="O177" s="52">
        <v>30.15</v>
      </c>
      <c r="Q177" s="52">
        <v>5.1999999999999998E-2</v>
      </c>
      <c r="T177" s="50"/>
      <c r="X177" s="52">
        <v>20.57</v>
      </c>
      <c r="AB177" s="52">
        <v>0.41599999999999998</v>
      </c>
      <c r="BG177" t="e">
        <f>#REF!/BG$2</f>
        <v>#REF!</v>
      </c>
      <c r="BH177" t="e">
        <f>#REF!/BH$2</f>
        <v>#REF!</v>
      </c>
      <c r="BI177" t="e">
        <f>#REF!/BI$2</f>
        <v>#REF!</v>
      </c>
      <c r="BJ177" t="e">
        <f>#REF!/BJ$2</f>
        <v>#REF!</v>
      </c>
      <c r="BK177" t="e">
        <f>#REF!/BK$2</f>
        <v>#REF!</v>
      </c>
      <c r="BL177" t="e">
        <f>#REF!/BL$2</f>
        <v>#REF!</v>
      </c>
      <c r="BM177" t="e">
        <f>#REF!/BM$2</f>
        <v>#REF!</v>
      </c>
      <c r="BN177" t="e">
        <f>#REF!/BN$2</f>
        <v>#REF!</v>
      </c>
      <c r="BO177" t="e">
        <f>#REF!/BO$2</f>
        <v>#REF!</v>
      </c>
      <c r="BP177" t="e">
        <f>#REF!/BP$2</f>
        <v>#REF!</v>
      </c>
      <c r="BQ177" t="e">
        <f>#REF!/BQ$2</f>
        <v>#REF!</v>
      </c>
      <c r="BR177" t="e">
        <f>#REF!/BR$2</f>
        <v>#REF!</v>
      </c>
      <c r="BS177" t="e">
        <f>#REF!/BS$2</f>
        <v>#REF!</v>
      </c>
      <c r="BT177" t="e">
        <f>#REF!/BT$2</f>
        <v>#REF!</v>
      </c>
      <c r="BU177" t="e">
        <f t="shared" si="70"/>
        <v>#REF!</v>
      </c>
      <c r="BV177" t="e">
        <f t="shared" si="71"/>
        <v>#REF!</v>
      </c>
      <c r="BX177" t="e">
        <f t="shared" si="72"/>
        <v>#REF!</v>
      </c>
      <c r="BZ177" t="s">
        <v>173</v>
      </c>
      <c r="CA177" t="s">
        <v>173</v>
      </c>
      <c r="CB177" t="s">
        <v>173</v>
      </c>
      <c r="CC177" t="s">
        <v>173</v>
      </c>
      <c r="CD177" t="s">
        <v>173</v>
      </c>
      <c r="CE177" t="s">
        <v>173</v>
      </c>
      <c r="CF177">
        <v>0.1971</v>
      </c>
      <c r="CG177">
        <v>0.255</v>
      </c>
      <c r="CH177" t="s">
        <v>173</v>
      </c>
      <c r="CI177">
        <v>0.1101</v>
      </c>
      <c r="CJ177" s="24">
        <v>0</v>
      </c>
      <c r="CK177">
        <v>0.1522</v>
      </c>
      <c r="CL177">
        <v>4.4999999999999997E-3</v>
      </c>
      <c r="CM177">
        <v>0.2445</v>
      </c>
      <c r="CN177">
        <v>0</v>
      </c>
      <c r="CO177" t="s">
        <v>173</v>
      </c>
      <c r="CP177" t="s">
        <v>173</v>
      </c>
      <c r="CQ177" t="s">
        <v>173</v>
      </c>
      <c r="CR177" t="s">
        <v>173</v>
      </c>
      <c r="CS177" t="s">
        <v>173</v>
      </c>
      <c r="CT177" t="s">
        <v>173</v>
      </c>
      <c r="CU177" t="s">
        <v>173</v>
      </c>
      <c r="CV177" t="s">
        <v>173</v>
      </c>
      <c r="CW177" t="s">
        <v>173</v>
      </c>
      <c r="CX177">
        <v>0</v>
      </c>
      <c r="CY177">
        <v>0</v>
      </c>
      <c r="CZ177" t="s">
        <v>173</v>
      </c>
      <c r="DA177" t="s">
        <v>173</v>
      </c>
      <c r="DB177" t="s">
        <v>173</v>
      </c>
      <c r="DC177" s="24">
        <f t="shared" si="52"/>
        <v>0.1101</v>
      </c>
      <c r="DD177" s="24">
        <f t="shared" si="53"/>
        <v>0.4521</v>
      </c>
      <c r="DE177" s="24">
        <f t="shared" si="55"/>
        <v>0.3967</v>
      </c>
      <c r="DG177" s="5" t="e">
        <f t="shared" si="54"/>
        <v>#DIV/0!</v>
      </c>
    </row>
    <row r="178" spans="1:111">
      <c r="A178" s="54">
        <v>459142</v>
      </c>
      <c r="B178" s="52" t="s">
        <v>298</v>
      </c>
      <c r="C178" s="52" t="s">
        <v>299</v>
      </c>
      <c r="D178" t="s">
        <v>300</v>
      </c>
      <c r="F178" s="52" t="s">
        <v>122</v>
      </c>
      <c r="G178" s="52">
        <v>20.190000000000001</v>
      </c>
      <c r="H178" s="52">
        <v>11.37</v>
      </c>
      <c r="I178" s="52">
        <v>3.71</v>
      </c>
      <c r="K178" s="52">
        <v>12.03</v>
      </c>
      <c r="L178" s="52"/>
      <c r="M178" s="52">
        <v>2.39</v>
      </c>
      <c r="N178" s="52">
        <v>0.10100000000000001</v>
      </c>
      <c r="O178" s="52">
        <v>30.46</v>
      </c>
      <c r="Q178" s="52">
        <v>4.4999999999999998E-2</v>
      </c>
      <c r="T178" s="50"/>
      <c r="X178" s="52">
        <v>19.62</v>
      </c>
      <c r="AB178" s="52">
        <v>0.35699999999999998</v>
      </c>
      <c r="AK178" s="61"/>
      <c r="AM178" s="5"/>
      <c r="AV178" s="60"/>
      <c r="AY178" s="59"/>
      <c r="BG178" t="e">
        <f>#REF!/BG$2</f>
        <v>#REF!</v>
      </c>
      <c r="BH178" t="e">
        <f>#REF!/BH$2</f>
        <v>#REF!</v>
      </c>
      <c r="BI178" t="e">
        <f>#REF!/BI$2</f>
        <v>#REF!</v>
      </c>
      <c r="BJ178" t="e">
        <f>#REF!/BJ$2</f>
        <v>#REF!</v>
      </c>
      <c r="BK178" t="e">
        <f>#REF!/BK$2</f>
        <v>#REF!</v>
      </c>
      <c r="BL178" t="e">
        <f>#REF!/BL$2</f>
        <v>#REF!</v>
      </c>
      <c r="BM178" t="e">
        <f>#REF!/BM$2</f>
        <v>#REF!</v>
      </c>
      <c r="BN178" t="e">
        <f>#REF!/BN$2</f>
        <v>#REF!</v>
      </c>
      <c r="BO178" t="e">
        <f>#REF!/BO$2</f>
        <v>#REF!</v>
      </c>
      <c r="BP178" t="e">
        <f>#REF!/BP$2</f>
        <v>#REF!</v>
      </c>
      <c r="BQ178" t="e">
        <f>#REF!/BQ$2</f>
        <v>#REF!</v>
      </c>
      <c r="BR178" t="e">
        <f>#REF!/BR$2</f>
        <v>#REF!</v>
      </c>
      <c r="BS178" t="e">
        <f>#REF!/BS$2</f>
        <v>#REF!</v>
      </c>
      <c r="BT178" t="e">
        <f>#REF!/BT$2</f>
        <v>#REF!</v>
      </c>
      <c r="BU178" t="e">
        <f t="shared" si="70"/>
        <v>#REF!</v>
      </c>
      <c r="BV178" t="e">
        <f t="shared" si="71"/>
        <v>#REF!</v>
      </c>
      <c r="BX178" t="e">
        <f t="shared" si="72"/>
        <v>#REF!</v>
      </c>
      <c r="BZ178" t="s">
        <v>173</v>
      </c>
      <c r="CA178" t="s">
        <v>173</v>
      </c>
      <c r="CB178" t="s">
        <v>173</v>
      </c>
      <c r="CC178" t="s">
        <v>173</v>
      </c>
      <c r="CD178" t="s">
        <v>173</v>
      </c>
      <c r="CE178" t="s">
        <v>173</v>
      </c>
      <c r="CF178">
        <v>0.1963</v>
      </c>
      <c r="CG178">
        <v>0.2331</v>
      </c>
      <c r="CH178" t="s">
        <v>173</v>
      </c>
      <c r="CI178">
        <v>0.1353</v>
      </c>
      <c r="CJ178" s="24">
        <v>0</v>
      </c>
      <c r="CK178">
        <v>0.1082</v>
      </c>
      <c r="CL178">
        <v>3.8999999999999998E-3</v>
      </c>
      <c r="CM178">
        <v>0.2651</v>
      </c>
      <c r="CN178">
        <v>0</v>
      </c>
      <c r="CO178" t="s">
        <v>173</v>
      </c>
      <c r="CP178" t="s">
        <v>173</v>
      </c>
      <c r="CQ178" t="s">
        <v>173</v>
      </c>
      <c r="CR178" t="s">
        <v>173</v>
      </c>
      <c r="CS178" t="s">
        <v>173</v>
      </c>
      <c r="CT178" t="s">
        <v>173</v>
      </c>
      <c r="CU178" t="s">
        <v>173</v>
      </c>
      <c r="CV178" t="s">
        <v>173</v>
      </c>
      <c r="CW178" t="s">
        <v>173</v>
      </c>
      <c r="CX178">
        <v>0</v>
      </c>
      <c r="CY178">
        <v>0</v>
      </c>
      <c r="CZ178" t="s">
        <v>173</v>
      </c>
      <c r="DA178" t="s">
        <v>173</v>
      </c>
      <c r="DB178" t="s">
        <v>173</v>
      </c>
      <c r="DC178" s="24">
        <f t="shared" si="52"/>
        <v>0.1353</v>
      </c>
      <c r="DD178" s="24">
        <f t="shared" si="53"/>
        <v>0.4294</v>
      </c>
      <c r="DE178" s="24">
        <f t="shared" si="55"/>
        <v>0.37330000000000002</v>
      </c>
      <c r="DG178" s="5" t="e">
        <f t="shared" si="54"/>
        <v>#DIV/0!</v>
      </c>
    </row>
    <row r="179" spans="1:111">
      <c r="A179" s="54">
        <v>459142</v>
      </c>
      <c r="B179" s="52" t="s">
        <v>298</v>
      </c>
      <c r="C179" s="52" t="s">
        <v>299</v>
      </c>
      <c r="D179" t="s">
        <v>300</v>
      </c>
      <c r="F179" s="52" t="s">
        <v>122</v>
      </c>
      <c r="G179" s="52">
        <v>20.5</v>
      </c>
      <c r="H179" s="52">
        <v>10.15</v>
      </c>
      <c r="I179" s="52">
        <v>3.75</v>
      </c>
      <c r="K179" s="52">
        <v>12.2</v>
      </c>
      <c r="L179" s="52"/>
      <c r="M179" s="52">
        <v>2.3199999999999998</v>
      </c>
      <c r="N179" s="52">
        <v>0.104</v>
      </c>
      <c r="O179" s="52">
        <v>30.11</v>
      </c>
      <c r="Q179" s="52">
        <v>7.0999999999999994E-2</v>
      </c>
      <c r="T179" s="50"/>
      <c r="X179" s="52">
        <v>20.420000000000002</v>
      </c>
      <c r="AB179" s="52">
        <v>0.41299999999999998</v>
      </c>
      <c r="AG179" s="47"/>
      <c r="AH179" s="47"/>
      <c r="AI179" s="47"/>
      <c r="AJ179" s="55"/>
      <c r="AK179" s="47"/>
      <c r="AL179" s="55"/>
      <c r="AM179" s="47"/>
      <c r="AN179" s="47"/>
      <c r="AO179" s="47"/>
      <c r="AP179" s="47"/>
      <c r="AQ179" s="55"/>
      <c r="AR179" s="47"/>
      <c r="AS179" s="47"/>
      <c r="AT179" s="47"/>
      <c r="AU179" s="47"/>
      <c r="AV179" s="47"/>
      <c r="AW179" s="47"/>
      <c r="AX179" s="55"/>
      <c r="AY179" s="47"/>
      <c r="AZ179" s="55"/>
      <c r="BA179" s="47"/>
      <c r="BB179" s="55"/>
      <c r="BC179" s="47"/>
      <c r="BD179" s="47"/>
      <c r="BG179" t="e">
        <f>#REF!/BG$2</f>
        <v>#REF!</v>
      </c>
      <c r="BH179" t="e">
        <f>#REF!/BH$2</f>
        <v>#REF!</v>
      </c>
      <c r="BI179" t="e">
        <f>#REF!/BI$2</f>
        <v>#REF!</v>
      </c>
      <c r="BJ179" t="e">
        <f>#REF!/BJ$2</f>
        <v>#REF!</v>
      </c>
      <c r="BK179" t="e">
        <f>#REF!/BK$2</f>
        <v>#REF!</v>
      </c>
      <c r="BL179" t="e">
        <f>#REF!/BL$2</f>
        <v>#REF!</v>
      </c>
      <c r="BM179" t="e">
        <f>#REF!/BM$2</f>
        <v>#REF!</v>
      </c>
      <c r="BN179" t="e">
        <f>#REF!/BN$2</f>
        <v>#REF!</v>
      </c>
      <c r="BO179" t="e">
        <f>#REF!/BO$2</f>
        <v>#REF!</v>
      </c>
      <c r="BP179" t="e">
        <f>#REF!/BP$2</f>
        <v>#REF!</v>
      </c>
      <c r="BQ179" t="e">
        <f>#REF!/BQ$2</f>
        <v>#REF!</v>
      </c>
      <c r="BR179" t="e">
        <f>#REF!/BR$2</f>
        <v>#REF!</v>
      </c>
      <c r="BS179" t="e">
        <f>#REF!/BS$2</f>
        <v>#REF!</v>
      </c>
      <c r="BT179" t="e">
        <f>#REF!/BT$2</f>
        <v>#REF!</v>
      </c>
      <c r="BU179" t="e">
        <f t="shared" si="70"/>
        <v>#REF!</v>
      </c>
      <c r="BV179" t="e">
        <f t="shared" si="71"/>
        <v>#REF!</v>
      </c>
      <c r="BX179" t="e">
        <f t="shared" si="72"/>
        <v>#REF!</v>
      </c>
      <c r="BZ179" t="e">
        <v>#VALUE!</v>
      </c>
      <c r="CA179" t="e">
        <v>#VALUE!</v>
      </c>
      <c r="CB179" t="e">
        <v>#VALUE!</v>
      </c>
      <c r="CC179" t="e">
        <v>#VALUE!</v>
      </c>
      <c r="CD179" t="e">
        <v>#VALUE!</v>
      </c>
      <c r="CE179" t="e">
        <v>#VALUE!</v>
      </c>
      <c r="CF179" t="e">
        <v>#VALUE!</v>
      </c>
      <c r="CG179" t="e">
        <v>#VALUE!</v>
      </c>
      <c r="CH179" t="e">
        <v>#VALUE!</v>
      </c>
      <c r="CI179" t="e">
        <v>#VALUE!</v>
      </c>
      <c r="CJ179" s="24">
        <v>0</v>
      </c>
      <c r="CK179" t="e">
        <v>#VALUE!</v>
      </c>
      <c r="CL179" t="e">
        <v>#VALUE!</v>
      </c>
      <c r="CM179" t="e">
        <v>#VALUE!</v>
      </c>
      <c r="CN179" t="e">
        <v>#VALUE!</v>
      </c>
      <c r="CO179" t="e">
        <v>#VALUE!</v>
      </c>
      <c r="CP179" t="e">
        <v>#VALUE!</v>
      </c>
      <c r="CQ179" t="e">
        <v>#VALUE!</v>
      </c>
      <c r="CR179" t="e">
        <v>#VALUE!</v>
      </c>
      <c r="CS179" t="e">
        <v>#VALUE!</v>
      </c>
      <c r="CT179" t="e">
        <v>#VALUE!</v>
      </c>
      <c r="CU179" t="e">
        <v>#VALUE!</v>
      </c>
      <c r="CV179" t="e">
        <v>#VALUE!</v>
      </c>
      <c r="CW179" t="e">
        <v>#VALUE!</v>
      </c>
      <c r="CX179">
        <v>0</v>
      </c>
      <c r="CY179">
        <v>0</v>
      </c>
      <c r="CZ179" t="e">
        <v>#VALUE!</v>
      </c>
      <c r="DA179" t="e">
        <v>#VALUE!</v>
      </c>
      <c r="DB179" t="e">
        <v>#VALUE!</v>
      </c>
      <c r="DC179" s="24" t="e">
        <f t="shared" si="52"/>
        <v>#VALUE!</v>
      </c>
      <c r="DD179" s="24" t="e">
        <f t="shared" si="53"/>
        <v>#VALUE!</v>
      </c>
      <c r="DE179" s="24" t="e">
        <f t="shared" si="55"/>
        <v>#VALUE!</v>
      </c>
      <c r="DG179" s="5" t="e">
        <f t="shared" si="54"/>
        <v>#DIV/0!</v>
      </c>
    </row>
    <row r="180" spans="1:111" ht="15.5">
      <c r="A180" s="47"/>
      <c r="B180" s="47"/>
      <c r="C180" s="47"/>
      <c r="D180" t="s">
        <v>300</v>
      </c>
      <c r="F180" s="47"/>
      <c r="G180" s="47"/>
      <c r="H180" s="47"/>
      <c r="I180" s="47"/>
      <c r="K180" s="47"/>
      <c r="L180" s="47"/>
      <c r="M180" s="47"/>
      <c r="N180" s="47"/>
      <c r="O180" s="47"/>
      <c r="Q180" s="47"/>
      <c r="T180" s="50"/>
      <c r="X180" s="47"/>
      <c r="AB180" s="47"/>
      <c r="AM180" s="46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G180" t="e">
        <f>#REF!/BG$2</f>
        <v>#REF!</v>
      </c>
      <c r="BH180" t="e">
        <f>#REF!/BH$2</f>
        <v>#REF!</v>
      </c>
      <c r="BI180" t="e">
        <f>#REF!/BI$2</f>
        <v>#REF!</v>
      </c>
      <c r="BJ180" t="e">
        <f>#REF!/BJ$2</f>
        <v>#REF!</v>
      </c>
      <c r="BK180" t="e">
        <f>#REF!/BK$2</f>
        <v>#REF!</v>
      </c>
      <c r="BL180" t="e">
        <f>#REF!/BL$2</f>
        <v>#REF!</v>
      </c>
      <c r="BM180" t="e">
        <f>#REF!/BM$2</f>
        <v>#REF!</v>
      </c>
      <c r="BN180" t="e">
        <f>#REF!/BN$2</f>
        <v>#REF!</v>
      </c>
      <c r="BO180" t="e">
        <f>#REF!/BO$2</f>
        <v>#REF!</v>
      </c>
      <c r="BP180" t="e">
        <f>#REF!/BP$2</f>
        <v>#REF!</v>
      </c>
      <c r="BQ180" t="e">
        <f>#REF!/BQ$2</f>
        <v>#REF!</v>
      </c>
      <c r="BR180" t="e">
        <f>#REF!/BR$2</f>
        <v>#REF!</v>
      </c>
      <c r="BS180" t="e">
        <f>#REF!/BS$2</f>
        <v>#REF!</v>
      </c>
      <c r="BT180" t="e">
        <f>#REF!/BT$2</f>
        <v>#REF!</v>
      </c>
      <c r="BU180" t="e">
        <f t="shared" si="70"/>
        <v>#REF!</v>
      </c>
      <c r="BV180" t="e">
        <f t="shared" si="71"/>
        <v>#REF!</v>
      </c>
      <c r="BX180" t="e">
        <f t="shared" si="72"/>
        <v>#REF!</v>
      </c>
      <c r="BZ180" t="e">
        <v>#DIV/0!</v>
      </c>
      <c r="CA180" t="e">
        <v>#DIV/0!</v>
      </c>
      <c r="CB180" t="e">
        <v>#DIV/0!</v>
      </c>
      <c r="CC180" t="e">
        <v>#DIV/0!</v>
      </c>
      <c r="CD180" t="e">
        <v>#DIV/0!</v>
      </c>
      <c r="CE180" t="e">
        <v>#DIV/0!</v>
      </c>
      <c r="CF180" t="e">
        <v>#DIV/0!</v>
      </c>
      <c r="CG180" t="e">
        <v>#DIV/0!</v>
      </c>
      <c r="CH180" t="e">
        <v>#DIV/0!</v>
      </c>
      <c r="CI180" t="e">
        <v>#DIV/0!</v>
      </c>
      <c r="CJ180" s="24">
        <v>0</v>
      </c>
      <c r="CK180" t="e">
        <v>#DIV/0!</v>
      </c>
      <c r="CL180" t="e">
        <v>#DIV/0!</v>
      </c>
      <c r="CM180" t="e">
        <v>#DIV/0!</v>
      </c>
      <c r="CN180" t="e">
        <v>#DIV/0!</v>
      </c>
      <c r="CO180" t="e">
        <v>#DIV/0!</v>
      </c>
      <c r="CP180" t="e">
        <v>#DIV/0!</v>
      </c>
      <c r="CQ180" t="e">
        <v>#DIV/0!</v>
      </c>
      <c r="CR180" t="e">
        <v>#DIV/0!</v>
      </c>
      <c r="CS180" t="e">
        <v>#DIV/0!</v>
      </c>
      <c r="CT180" t="e">
        <v>#DIV/0!</v>
      </c>
      <c r="CU180" t="e">
        <v>#DIV/0!</v>
      </c>
      <c r="CV180" t="e">
        <v>#DIV/0!</v>
      </c>
      <c r="CW180" t="e">
        <v>#DIV/0!</v>
      </c>
      <c r="CX180">
        <v>0</v>
      </c>
      <c r="CY180">
        <v>0</v>
      </c>
      <c r="CZ180" t="e">
        <v>#DIV/0!</v>
      </c>
      <c r="DA180" t="e">
        <v>#DIV/0!</v>
      </c>
      <c r="DB180" t="e">
        <v>#DIV/0!</v>
      </c>
      <c r="DC180" s="24" t="e">
        <f t="shared" si="52"/>
        <v>#DIV/0!</v>
      </c>
      <c r="DD180" s="24" t="e">
        <f t="shared" si="53"/>
        <v>#DIV/0!</v>
      </c>
      <c r="DE180" s="24" t="e">
        <f t="shared" si="55"/>
        <v>#DIV/0!</v>
      </c>
      <c r="DG180" s="5" t="e">
        <f t="shared" si="54"/>
        <v>#DIV/0!</v>
      </c>
    </row>
    <row r="181" spans="1:111">
      <c r="A181" s="54">
        <v>459142</v>
      </c>
      <c r="B181" s="52" t="s">
        <v>298</v>
      </c>
      <c r="C181" s="52" t="s">
        <v>299</v>
      </c>
      <c r="D181" t="s">
        <v>300</v>
      </c>
      <c r="F181" s="52" t="s">
        <v>122</v>
      </c>
      <c r="G181" s="52">
        <v>20.399999999999999</v>
      </c>
      <c r="H181" s="52">
        <v>10.33</v>
      </c>
      <c r="I181" s="52">
        <v>3.72</v>
      </c>
      <c r="K181" s="52">
        <v>12.11</v>
      </c>
      <c r="L181" s="52"/>
      <c r="M181" s="52">
        <v>2.35</v>
      </c>
      <c r="N181" s="52">
        <v>0.108</v>
      </c>
      <c r="O181" s="52">
        <v>30.19</v>
      </c>
      <c r="Q181" s="52">
        <v>7.0000000000000007E-2</v>
      </c>
      <c r="T181" s="50"/>
      <c r="X181" s="52">
        <v>20.54</v>
      </c>
      <c r="AB181" s="52">
        <v>0.41499999999999998</v>
      </c>
      <c r="AG181" s="47"/>
      <c r="AH181" s="47"/>
      <c r="AI181" s="47"/>
      <c r="AJ181" s="55"/>
      <c r="AK181" s="47"/>
      <c r="AL181" s="55"/>
      <c r="AM181" s="47"/>
      <c r="AN181" s="47"/>
      <c r="AO181" s="47"/>
      <c r="AP181" s="47"/>
      <c r="AQ181" s="55"/>
      <c r="AR181" s="47"/>
      <c r="AS181" s="47"/>
      <c r="AT181" s="47"/>
      <c r="AU181" s="47"/>
      <c r="AV181" s="47"/>
      <c r="AW181" s="47"/>
      <c r="AX181" s="55"/>
      <c r="AY181" s="47"/>
      <c r="AZ181" s="55"/>
      <c r="BA181" s="47"/>
      <c r="BB181" s="55"/>
      <c r="BC181" s="47"/>
      <c r="BD181" s="47"/>
      <c r="BG181" t="e">
        <f>#REF!/BG$2</f>
        <v>#REF!</v>
      </c>
      <c r="BH181" t="e">
        <f>#REF!/BH$2</f>
        <v>#REF!</v>
      </c>
      <c r="BI181" t="e">
        <f>#REF!/BI$2</f>
        <v>#REF!</v>
      </c>
      <c r="BJ181" t="e">
        <f>#REF!/BJ$2</f>
        <v>#REF!</v>
      </c>
      <c r="BK181" t="e">
        <f>#REF!/BK$2</f>
        <v>#REF!</v>
      </c>
      <c r="BL181" t="e">
        <f>#REF!/BL$2</f>
        <v>#REF!</v>
      </c>
      <c r="BM181" t="e">
        <f>#REF!/BM$2</f>
        <v>#REF!</v>
      </c>
      <c r="BN181" t="e">
        <f>#REF!/BN$2</f>
        <v>#REF!</v>
      </c>
      <c r="BO181" t="e">
        <f>#REF!/BO$2</f>
        <v>#REF!</v>
      </c>
      <c r="BP181" t="e">
        <f>#REF!/BP$2</f>
        <v>#REF!</v>
      </c>
      <c r="BQ181" t="e">
        <f>#REF!/BQ$2</f>
        <v>#REF!</v>
      </c>
      <c r="BR181" t="e">
        <f>#REF!/BR$2</f>
        <v>#REF!</v>
      </c>
      <c r="BS181" t="e">
        <f>#REF!/BS$2</f>
        <v>#REF!</v>
      </c>
      <c r="BT181" t="e">
        <f>#REF!/BT$2</f>
        <v>#REF!</v>
      </c>
      <c r="BU181" t="e">
        <f t="shared" si="70"/>
        <v>#REF!</v>
      </c>
      <c r="BV181" t="e">
        <f t="shared" si="71"/>
        <v>#REF!</v>
      </c>
      <c r="BX181" t="e">
        <f t="shared" si="72"/>
        <v>#REF!</v>
      </c>
      <c r="BZ181" t="s">
        <v>173</v>
      </c>
      <c r="CA181" t="s">
        <v>173</v>
      </c>
      <c r="CB181" t="s">
        <v>173</v>
      </c>
      <c r="CC181" t="s">
        <v>173</v>
      </c>
      <c r="CD181" t="s">
        <v>173</v>
      </c>
      <c r="CE181" t="s">
        <v>173</v>
      </c>
      <c r="CF181">
        <v>0.1948</v>
      </c>
      <c r="CG181">
        <v>0.25019999999999998</v>
      </c>
      <c r="CH181" t="s">
        <v>173</v>
      </c>
      <c r="CI181">
        <v>5.5899999999999998E-2</v>
      </c>
      <c r="CJ181" s="24">
        <v>0</v>
      </c>
      <c r="CK181">
        <v>0.21429999999999999</v>
      </c>
      <c r="CL181">
        <v>6.0000000000000001E-3</v>
      </c>
      <c r="CM181">
        <v>0.2054</v>
      </c>
      <c r="CN181">
        <v>0</v>
      </c>
      <c r="CO181" t="s">
        <v>173</v>
      </c>
      <c r="CP181" t="s">
        <v>173</v>
      </c>
      <c r="CQ181" t="s">
        <v>173</v>
      </c>
      <c r="CR181" t="s">
        <v>173</v>
      </c>
      <c r="CS181" t="s">
        <v>173</v>
      </c>
      <c r="CT181" t="s">
        <v>173</v>
      </c>
      <c r="CU181" t="s">
        <v>173</v>
      </c>
      <c r="CV181" t="s">
        <v>173</v>
      </c>
      <c r="CW181" t="s">
        <v>173</v>
      </c>
      <c r="CX181">
        <v>0</v>
      </c>
      <c r="CY181">
        <v>0</v>
      </c>
      <c r="CZ181" t="s">
        <v>173</v>
      </c>
      <c r="DA181" t="s">
        <v>173</v>
      </c>
      <c r="DB181" t="s">
        <v>173</v>
      </c>
      <c r="DC181" s="24">
        <f t="shared" si="52"/>
        <v>5.5899999999999998E-2</v>
      </c>
      <c r="DD181" s="24">
        <f t="shared" si="53"/>
        <v>0.44499999999999995</v>
      </c>
      <c r="DE181" s="24">
        <f t="shared" si="55"/>
        <v>0.41969999999999996</v>
      </c>
      <c r="DG181" s="5" t="e">
        <f t="shared" si="54"/>
        <v>#DIV/0!</v>
      </c>
    </row>
    <row r="182" spans="1:111" ht="15.5">
      <c r="A182" s="54">
        <v>459142</v>
      </c>
      <c r="B182" s="52" t="s">
        <v>298</v>
      </c>
      <c r="C182" s="52" t="s">
        <v>299</v>
      </c>
      <c r="D182" t="s">
        <v>300</v>
      </c>
      <c r="F182" s="52" t="s">
        <v>122</v>
      </c>
      <c r="G182" s="52">
        <v>20.21</v>
      </c>
      <c r="H182" s="52">
        <v>10.34</v>
      </c>
      <c r="I182" s="52">
        <v>3.75</v>
      </c>
      <c r="K182" s="52">
        <v>12.23</v>
      </c>
      <c r="L182" s="52"/>
      <c r="M182" s="52">
        <v>2.2599999999999998</v>
      </c>
      <c r="N182" s="52">
        <v>0.108</v>
      </c>
      <c r="O182" s="52">
        <v>30.23</v>
      </c>
      <c r="Q182" s="52">
        <v>0.13500000000000001</v>
      </c>
      <c r="T182" s="50"/>
      <c r="X182" s="52">
        <v>20.72</v>
      </c>
      <c r="AB182" s="52">
        <v>0.39200000000000002</v>
      </c>
      <c r="AG182" s="57"/>
      <c r="AH182" s="57"/>
      <c r="AI182" s="57"/>
      <c r="AJ182" s="57"/>
      <c r="AK182" s="58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G182" t="e">
        <f>#REF!/BG$2</f>
        <v>#REF!</v>
      </c>
      <c r="BH182" t="e">
        <f>#REF!/BH$2</f>
        <v>#REF!</v>
      </c>
      <c r="BI182" t="e">
        <f>#REF!/BI$2</f>
        <v>#REF!</v>
      </c>
      <c r="BJ182" t="e">
        <f>#REF!/BJ$2</f>
        <v>#REF!</v>
      </c>
      <c r="BK182" t="e">
        <f>#REF!/BK$2</f>
        <v>#REF!</v>
      </c>
      <c r="BL182" t="e">
        <f>#REF!/BL$2</f>
        <v>#REF!</v>
      </c>
      <c r="BM182" t="e">
        <f>#REF!/BM$2</f>
        <v>#REF!</v>
      </c>
      <c r="BN182" t="e">
        <f>#REF!/BN$2</f>
        <v>#REF!</v>
      </c>
      <c r="BO182" t="e">
        <f>#REF!/BO$2</f>
        <v>#REF!</v>
      </c>
      <c r="BP182" t="e">
        <f>#REF!/BP$2</f>
        <v>#REF!</v>
      </c>
      <c r="BQ182" t="e">
        <f>#REF!/BQ$2</f>
        <v>#REF!</v>
      </c>
      <c r="BR182" t="e">
        <f>#REF!/BR$2</f>
        <v>#REF!</v>
      </c>
      <c r="BS182" t="e">
        <f>#REF!/BS$2</f>
        <v>#REF!</v>
      </c>
      <c r="BT182" t="e">
        <f>#REF!/BT$2</f>
        <v>#REF!</v>
      </c>
      <c r="BU182" t="e">
        <f t="shared" si="70"/>
        <v>#REF!</v>
      </c>
      <c r="BV182" t="e">
        <f t="shared" si="71"/>
        <v>#REF!</v>
      </c>
      <c r="BX182" t="e">
        <f t="shared" si="72"/>
        <v>#REF!</v>
      </c>
      <c r="BZ182" t="s">
        <v>173</v>
      </c>
      <c r="CA182" t="s">
        <v>173</v>
      </c>
      <c r="CB182" t="s">
        <v>173</v>
      </c>
      <c r="CC182" t="s">
        <v>173</v>
      </c>
      <c r="CD182" t="s">
        <v>173</v>
      </c>
      <c r="CE182" t="s">
        <v>173</v>
      </c>
      <c r="CF182">
        <v>0.19900000000000001</v>
      </c>
      <c r="CG182">
        <v>0.25590000000000002</v>
      </c>
      <c r="CH182" t="s">
        <v>173</v>
      </c>
      <c r="CI182">
        <v>0.12720000000000001</v>
      </c>
      <c r="CJ182" s="24">
        <v>0</v>
      </c>
      <c r="CK182">
        <v>0.13850000000000001</v>
      </c>
      <c r="CL182">
        <v>1.18E-2</v>
      </c>
      <c r="CM182">
        <v>0.24759999999999999</v>
      </c>
      <c r="CN182">
        <v>0</v>
      </c>
      <c r="CO182" t="s">
        <v>173</v>
      </c>
      <c r="CP182" t="s">
        <v>173</v>
      </c>
      <c r="CQ182" t="s">
        <v>173</v>
      </c>
      <c r="CR182" t="s">
        <v>173</v>
      </c>
      <c r="CS182" t="s">
        <v>173</v>
      </c>
      <c r="CT182" t="s">
        <v>173</v>
      </c>
      <c r="CU182" t="s">
        <v>173</v>
      </c>
      <c r="CV182" t="s">
        <v>173</v>
      </c>
      <c r="CW182" t="s">
        <v>173</v>
      </c>
      <c r="CX182">
        <v>0</v>
      </c>
      <c r="CY182">
        <v>0</v>
      </c>
      <c r="CZ182" t="s">
        <v>173</v>
      </c>
      <c r="DA182" t="s">
        <v>173</v>
      </c>
      <c r="DB182" t="s">
        <v>173</v>
      </c>
      <c r="DC182" s="24">
        <f t="shared" si="52"/>
        <v>0.12720000000000001</v>
      </c>
      <c r="DD182" s="24">
        <f t="shared" si="53"/>
        <v>0.45490000000000003</v>
      </c>
      <c r="DE182" s="24">
        <f t="shared" si="55"/>
        <v>0.3861</v>
      </c>
      <c r="DG182" s="5" t="e">
        <f t="shared" si="54"/>
        <v>#DIV/0!</v>
      </c>
    </row>
    <row r="183" spans="1:111">
      <c r="A183" s="48"/>
      <c r="B183" s="48"/>
      <c r="C183" s="48"/>
      <c r="D183" t="s">
        <v>300</v>
      </c>
      <c r="F183" s="48"/>
      <c r="G183" s="50"/>
      <c r="H183" s="50"/>
      <c r="I183" s="50"/>
      <c r="K183" s="50"/>
      <c r="L183" s="50"/>
      <c r="M183" s="50"/>
      <c r="N183" s="50"/>
      <c r="O183" s="50"/>
      <c r="Q183" s="50"/>
      <c r="T183" s="50"/>
      <c r="X183" s="50"/>
      <c r="AB183" s="50"/>
      <c r="AG183" s="47"/>
      <c r="AH183" s="47"/>
      <c r="AI183" s="47"/>
      <c r="AJ183" s="55"/>
      <c r="AK183" s="47"/>
      <c r="AL183" s="55"/>
      <c r="AM183" s="47"/>
      <c r="AN183" s="47"/>
      <c r="AO183" s="47"/>
      <c r="AP183" s="47"/>
      <c r="AQ183" s="55"/>
      <c r="AR183" s="47"/>
      <c r="AS183" s="47"/>
      <c r="AT183" s="47"/>
      <c r="AU183" s="47"/>
      <c r="AV183" s="47"/>
      <c r="AW183" s="47"/>
      <c r="AX183" s="55"/>
      <c r="AY183" s="47"/>
      <c r="AZ183" s="55"/>
      <c r="BA183" s="47"/>
      <c r="BB183" s="55"/>
      <c r="BC183" s="47"/>
      <c r="BD183" s="47"/>
      <c r="BG183" t="e">
        <f>#REF!/BG$2</f>
        <v>#REF!</v>
      </c>
      <c r="BH183" t="e">
        <f>#REF!/BH$2</f>
        <v>#REF!</v>
      </c>
      <c r="BI183" t="e">
        <f>#REF!/BI$2</f>
        <v>#REF!</v>
      </c>
      <c r="BJ183" t="e">
        <f>#REF!/BJ$2</f>
        <v>#REF!</v>
      </c>
      <c r="BK183" t="e">
        <f>#REF!/BK$2</f>
        <v>#REF!</v>
      </c>
      <c r="BL183" t="e">
        <f>#REF!/BL$2</f>
        <v>#REF!</v>
      </c>
      <c r="BM183" t="e">
        <f>#REF!/BM$2</f>
        <v>#REF!</v>
      </c>
      <c r="BN183" t="e">
        <f>#REF!/BN$2</f>
        <v>#REF!</v>
      </c>
      <c r="BO183" t="e">
        <f>#REF!/BO$2</f>
        <v>#REF!</v>
      </c>
      <c r="BP183" t="e">
        <f>#REF!/BP$2</f>
        <v>#REF!</v>
      </c>
      <c r="BQ183" t="e">
        <f>#REF!/BQ$2</f>
        <v>#REF!</v>
      </c>
      <c r="BR183" t="e">
        <f>#REF!/BR$2</f>
        <v>#REF!</v>
      </c>
      <c r="BS183" t="e">
        <f>#REF!/BS$2</f>
        <v>#REF!</v>
      </c>
      <c r="BT183" t="e">
        <f>#REF!/BT$2</f>
        <v>#REF!</v>
      </c>
      <c r="BU183" t="e">
        <f t="shared" si="70"/>
        <v>#REF!</v>
      </c>
      <c r="BV183" t="e">
        <f t="shared" si="71"/>
        <v>#REF!</v>
      </c>
      <c r="BX183" t="e">
        <f t="shared" si="72"/>
        <v>#REF!</v>
      </c>
      <c r="BZ183" t="e">
        <v>#DIV/0!</v>
      </c>
      <c r="CA183" t="e">
        <v>#DIV/0!</v>
      </c>
      <c r="CB183" t="e">
        <v>#DIV/0!</v>
      </c>
      <c r="CC183" t="e">
        <v>#DIV/0!</v>
      </c>
      <c r="CD183" t="e">
        <v>#DIV/0!</v>
      </c>
      <c r="CE183" t="e">
        <v>#DIV/0!</v>
      </c>
      <c r="CF183" t="e">
        <v>#DIV/0!</v>
      </c>
      <c r="CG183" t="e">
        <v>#DIV/0!</v>
      </c>
      <c r="CH183" t="e">
        <v>#DIV/0!</v>
      </c>
      <c r="CI183" t="e">
        <v>#DIV/0!</v>
      </c>
      <c r="CJ183" s="24">
        <v>0</v>
      </c>
      <c r="CK183" t="e">
        <v>#DIV/0!</v>
      </c>
      <c r="CL183" t="e">
        <v>#DIV/0!</v>
      </c>
      <c r="CM183" t="e">
        <v>#DIV/0!</v>
      </c>
      <c r="CN183" t="e">
        <v>#DIV/0!</v>
      </c>
      <c r="CO183" t="e">
        <v>#DIV/0!</v>
      </c>
      <c r="CP183" t="e">
        <v>#DIV/0!</v>
      </c>
      <c r="CQ183" t="e">
        <v>#DIV/0!</v>
      </c>
      <c r="CR183" t="e">
        <v>#DIV/0!</v>
      </c>
      <c r="CS183" t="e">
        <v>#DIV/0!</v>
      </c>
      <c r="CT183" t="e">
        <v>#DIV/0!</v>
      </c>
      <c r="CU183" t="e">
        <v>#DIV/0!</v>
      </c>
      <c r="CV183" t="e">
        <v>#DIV/0!</v>
      </c>
      <c r="CW183" t="e">
        <v>#DIV/0!</v>
      </c>
      <c r="CX183">
        <v>0</v>
      </c>
      <c r="CY183">
        <v>0</v>
      </c>
      <c r="CZ183" t="e">
        <v>#DIV/0!</v>
      </c>
      <c r="DA183" t="e">
        <v>#DIV/0!</v>
      </c>
      <c r="DB183" t="e">
        <v>#DIV/0!</v>
      </c>
      <c r="DC183" s="24" t="e">
        <f t="shared" si="52"/>
        <v>#DIV/0!</v>
      </c>
      <c r="DD183" s="24" t="e">
        <f t="shared" si="53"/>
        <v>#DIV/0!</v>
      </c>
      <c r="DE183" s="24" t="e">
        <f t="shared" si="55"/>
        <v>#DIV/0!</v>
      </c>
      <c r="DG183" s="5" t="e">
        <f t="shared" si="54"/>
        <v>#DIV/0!</v>
      </c>
    </row>
    <row r="184" spans="1:111">
      <c r="A184" s="54">
        <v>459142</v>
      </c>
      <c r="B184" s="52" t="s">
        <v>298</v>
      </c>
      <c r="C184" s="52" t="s">
        <v>299</v>
      </c>
      <c r="D184" t="s">
        <v>300</v>
      </c>
      <c r="F184" s="52" t="s">
        <v>122</v>
      </c>
      <c r="G184" s="52">
        <v>20.43</v>
      </c>
      <c r="H184" s="52">
        <v>10.26</v>
      </c>
      <c r="I184" s="52">
        <v>3.72</v>
      </c>
      <c r="K184" s="52">
        <v>12.09</v>
      </c>
      <c r="L184" s="52"/>
      <c r="M184" s="52">
        <v>2.33</v>
      </c>
      <c r="N184" s="52">
        <v>8.5000000000000006E-2</v>
      </c>
      <c r="O184" s="52">
        <v>30.07</v>
      </c>
      <c r="Q184" s="52">
        <v>6.9000000000000006E-2</v>
      </c>
      <c r="T184" s="50"/>
      <c r="X184" s="52">
        <v>20.309999999999999</v>
      </c>
      <c r="AB184" s="52">
        <v>0.38700000000000001</v>
      </c>
      <c r="AG184" s="47"/>
      <c r="AH184" s="47"/>
      <c r="AI184" s="47"/>
      <c r="AJ184" s="55"/>
      <c r="AK184" s="47"/>
      <c r="AL184" s="55"/>
      <c r="AM184" s="47"/>
      <c r="AN184" s="47"/>
      <c r="AO184" s="47"/>
      <c r="AP184" s="47"/>
      <c r="AQ184" s="55"/>
      <c r="AR184" s="47"/>
      <c r="AS184" s="47"/>
      <c r="AT184" s="47"/>
      <c r="AU184" s="47"/>
      <c r="AV184" s="47"/>
      <c r="AW184" s="47"/>
      <c r="AX184" s="55"/>
      <c r="AY184" s="47"/>
      <c r="AZ184" s="55"/>
      <c r="BA184" s="47"/>
      <c r="BB184" s="55"/>
      <c r="BC184" s="47"/>
      <c r="BD184" s="47"/>
      <c r="BG184" t="e">
        <f>#REF!/BG$2</f>
        <v>#REF!</v>
      </c>
      <c r="BH184" t="e">
        <f>#REF!/BH$2</f>
        <v>#REF!</v>
      </c>
      <c r="BI184" t="e">
        <f>#REF!/BI$2</f>
        <v>#REF!</v>
      </c>
      <c r="BJ184" t="e">
        <f>#REF!/BJ$2</f>
        <v>#REF!</v>
      </c>
      <c r="BK184" t="e">
        <f>#REF!/BK$2</f>
        <v>#REF!</v>
      </c>
      <c r="BL184" t="e">
        <f>#REF!/BL$2</f>
        <v>#REF!</v>
      </c>
      <c r="BM184" t="e">
        <f>#REF!/BM$2</f>
        <v>#REF!</v>
      </c>
      <c r="BN184" t="e">
        <f>#REF!/BN$2</f>
        <v>#REF!</v>
      </c>
      <c r="BO184" t="e">
        <f>#REF!/BO$2</f>
        <v>#REF!</v>
      </c>
      <c r="BP184" t="e">
        <f>#REF!/BP$2</f>
        <v>#REF!</v>
      </c>
      <c r="BQ184" t="e">
        <f>#REF!/BQ$2</f>
        <v>#REF!</v>
      </c>
      <c r="BR184" t="e">
        <f>#REF!/BR$2</f>
        <v>#REF!</v>
      </c>
      <c r="BS184" t="e">
        <f>#REF!/BS$2</f>
        <v>#REF!</v>
      </c>
      <c r="BT184" t="e">
        <f>#REF!/BT$2</f>
        <v>#REF!</v>
      </c>
      <c r="BU184" t="e">
        <f t="shared" si="70"/>
        <v>#REF!</v>
      </c>
      <c r="BV184" t="e">
        <f t="shared" si="71"/>
        <v>#REF!</v>
      </c>
      <c r="BX184" t="e">
        <f t="shared" si="72"/>
        <v>#REF!</v>
      </c>
      <c r="BZ184" t="s">
        <v>173</v>
      </c>
      <c r="CA184" t="s">
        <v>173</v>
      </c>
      <c r="CB184" t="s">
        <v>173</v>
      </c>
      <c r="CC184" t="s">
        <v>173</v>
      </c>
      <c r="CD184" t="s">
        <v>173</v>
      </c>
      <c r="CE184" t="s">
        <v>173</v>
      </c>
      <c r="CF184">
        <v>0.1983</v>
      </c>
      <c r="CG184">
        <v>0.24959999999999999</v>
      </c>
      <c r="CH184" t="s">
        <v>173</v>
      </c>
      <c r="CI184">
        <v>0.1163</v>
      </c>
      <c r="CJ184" s="24">
        <v>0</v>
      </c>
      <c r="CK184">
        <v>0.159</v>
      </c>
      <c r="CL184">
        <v>6.1000000000000004E-3</v>
      </c>
      <c r="CM184">
        <v>0.2462</v>
      </c>
      <c r="CN184">
        <v>0</v>
      </c>
      <c r="CO184" t="s">
        <v>173</v>
      </c>
      <c r="CP184" t="s">
        <v>173</v>
      </c>
      <c r="CQ184" t="s">
        <v>173</v>
      </c>
      <c r="CR184" t="s">
        <v>173</v>
      </c>
      <c r="CS184" t="s">
        <v>173</v>
      </c>
      <c r="CT184" t="s">
        <v>173</v>
      </c>
      <c r="CU184" t="s">
        <v>173</v>
      </c>
      <c r="CV184" t="s">
        <v>173</v>
      </c>
      <c r="CW184" t="s">
        <v>173</v>
      </c>
      <c r="CX184">
        <v>0</v>
      </c>
      <c r="CY184">
        <v>0</v>
      </c>
      <c r="CZ184" t="s">
        <v>173</v>
      </c>
      <c r="DA184" t="s">
        <v>173</v>
      </c>
      <c r="DB184" t="s">
        <v>173</v>
      </c>
      <c r="DC184" s="24">
        <f t="shared" si="52"/>
        <v>0.1163</v>
      </c>
      <c r="DD184" s="24">
        <f t="shared" si="53"/>
        <v>0.44789999999999996</v>
      </c>
      <c r="DE184" s="24">
        <f t="shared" si="55"/>
        <v>0.4052</v>
      </c>
      <c r="DG184" s="5" t="e">
        <f t="shared" si="54"/>
        <v>#DIV/0!</v>
      </c>
    </row>
    <row r="185" spans="1:111">
      <c r="A185" s="48"/>
      <c r="B185" s="48"/>
      <c r="C185" s="48"/>
      <c r="D185" t="s">
        <v>300</v>
      </c>
      <c r="F185" s="48"/>
      <c r="G185" s="50"/>
      <c r="H185" s="50"/>
      <c r="I185" s="50"/>
      <c r="K185" s="50"/>
      <c r="L185" s="50"/>
      <c r="M185" s="50"/>
      <c r="N185" s="50"/>
      <c r="O185" s="50"/>
      <c r="Q185" s="50"/>
      <c r="T185" s="50"/>
      <c r="X185" s="50"/>
      <c r="AB185" s="50"/>
      <c r="AG185" s="47"/>
      <c r="AH185" s="47"/>
      <c r="AI185" s="47"/>
      <c r="AJ185" s="56"/>
      <c r="AK185" s="47"/>
      <c r="AL185" s="55"/>
      <c r="AM185" s="47"/>
      <c r="AN185" s="47"/>
      <c r="AO185" s="47"/>
      <c r="AP185" s="47"/>
      <c r="AQ185" s="55"/>
      <c r="AR185" s="47"/>
      <c r="AS185" s="47"/>
      <c r="AT185" s="47"/>
      <c r="AU185" s="47"/>
      <c r="AV185" s="47"/>
      <c r="AW185" s="47"/>
      <c r="AX185" s="55"/>
      <c r="AY185" s="47"/>
      <c r="AZ185" s="55"/>
      <c r="BA185" s="47"/>
      <c r="BB185" s="55"/>
      <c r="BC185" s="47"/>
      <c r="BD185" s="47"/>
      <c r="BG185" t="e">
        <f>#REF!/BG$2</f>
        <v>#REF!</v>
      </c>
      <c r="BH185" t="e">
        <f>#REF!/BH$2</f>
        <v>#REF!</v>
      </c>
      <c r="BI185" t="e">
        <f>#REF!/BI$2</f>
        <v>#REF!</v>
      </c>
      <c r="BJ185" t="e">
        <f>#REF!/BJ$2</f>
        <v>#REF!</v>
      </c>
      <c r="BK185" t="e">
        <f>#REF!/BK$2</f>
        <v>#REF!</v>
      </c>
      <c r="BL185" t="e">
        <f>#REF!/BL$2</f>
        <v>#REF!</v>
      </c>
      <c r="BM185" t="e">
        <f>#REF!/BM$2</f>
        <v>#REF!</v>
      </c>
      <c r="BN185" t="e">
        <f>#REF!/BN$2</f>
        <v>#REF!</v>
      </c>
      <c r="BO185" t="e">
        <f>#REF!/BO$2</f>
        <v>#REF!</v>
      </c>
      <c r="BP185" t="e">
        <f>#REF!/BP$2</f>
        <v>#REF!</v>
      </c>
      <c r="BQ185" t="e">
        <f>#REF!/BQ$2</f>
        <v>#REF!</v>
      </c>
      <c r="BR185" t="e">
        <f>#REF!/BR$2</f>
        <v>#REF!</v>
      </c>
      <c r="BS185" t="e">
        <f>#REF!/BS$2</f>
        <v>#REF!</v>
      </c>
      <c r="BT185" t="e">
        <f>#REF!/BT$2</f>
        <v>#REF!</v>
      </c>
      <c r="BU185" t="e">
        <f t="shared" si="70"/>
        <v>#REF!</v>
      </c>
      <c r="BV185" t="e">
        <f t="shared" si="71"/>
        <v>#REF!</v>
      </c>
      <c r="BX185" t="e">
        <f t="shared" si="72"/>
        <v>#REF!</v>
      </c>
      <c r="BZ185" t="e">
        <v>#DIV/0!</v>
      </c>
      <c r="CA185" t="e">
        <v>#DIV/0!</v>
      </c>
      <c r="CB185" t="e">
        <v>#DIV/0!</v>
      </c>
      <c r="CC185" t="e">
        <v>#DIV/0!</v>
      </c>
      <c r="CD185" t="e">
        <v>#DIV/0!</v>
      </c>
      <c r="CE185" t="e">
        <v>#DIV/0!</v>
      </c>
      <c r="CF185" t="e">
        <v>#DIV/0!</v>
      </c>
      <c r="CG185" t="e">
        <v>#DIV/0!</v>
      </c>
      <c r="CH185" t="e">
        <v>#DIV/0!</v>
      </c>
      <c r="CI185" t="e">
        <v>#DIV/0!</v>
      </c>
      <c r="CJ185" s="24">
        <v>0</v>
      </c>
      <c r="CK185" t="e">
        <v>#DIV/0!</v>
      </c>
      <c r="CL185" t="e">
        <v>#DIV/0!</v>
      </c>
      <c r="CM185" t="e">
        <v>#DIV/0!</v>
      </c>
      <c r="CN185" t="e">
        <v>#DIV/0!</v>
      </c>
      <c r="CO185" t="e">
        <v>#DIV/0!</v>
      </c>
      <c r="CP185" t="e">
        <v>#DIV/0!</v>
      </c>
      <c r="CQ185" t="e">
        <v>#DIV/0!</v>
      </c>
      <c r="CR185" t="e">
        <v>#DIV/0!</v>
      </c>
      <c r="CS185" t="e">
        <v>#DIV/0!</v>
      </c>
      <c r="CT185" t="e">
        <v>#DIV/0!</v>
      </c>
      <c r="CU185" t="e">
        <v>#DIV/0!</v>
      </c>
      <c r="CV185" t="e">
        <v>#DIV/0!</v>
      </c>
      <c r="CW185" t="e">
        <v>#DIV/0!</v>
      </c>
      <c r="CX185">
        <v>0</v>
      </c>
      <c r="CY185">
        <v>0</v>
      </c>
      <c r="CZ185" t="e">
        <v>#DIV/0!</v>
      </c>
      <c r="DA185" t="e">
        <v>#DIV/0!</v>
      </c>
      <c r="DB185" t="e">
        <v>#DIV/0!</v>
      </c>
      <c r="DC185" s="24" t="e">
        <f t="shared" si="52"/>
        <v>#DIV/0!</v>
      </c>
      <c r="DD185" s="24" t="e">
        <f t="shared" si="53"/>
        <v>#DIV/0!</v>
      </c>
      <c r="DE185" s="24" t="e">
        <f t="shared" si="55"/>
        <v>#DIV/0!</v>
      </c>
      <c r="DG185" s="5" t="e">
        <f t="shared" si="54"/>
        <v>#DIV/0!</v>
      </c>
    </row>
    <row r="186" spans="1:111">
      <c r="A186" s="54">
        <v>459142</v>
      </c>
      <c r="B186" s="52" t="s">
        <v>298</v>
      </c>
      <c r="C186" s="52" t="s">
        <v>299</v>
      </c>
      <c r="D186" t="s">
        <v>300</v>
      </c>
      <c r="F186" s="52" t="s">
        <v>122</v>
      </c>
      <c r="G186" s="52">
        <v>19.7</v>
      </c>
      <c r="H186" s="52">
        <v>10.3</v>
      </c>
      <c r="I186" s="52">
        <v>3.93</v>
      </c>
      <c r="K186" s="52">
        <v>12.26</v>
      </c>
      <c r="L186" s="52"/>
      <c r="M186" s="52">
        <v>2.06</v>
      </c>
      <c r="N186" s="52">
        <v>8.5000000000000006E-2</v>
      </c>
      <c r="O186" s="52">
        <v>30.24</v>
      </c>
      <c r="Q186" s="52">
        <v>0.11700000000000001</v>
      </c>
      <c r="T186" s="50"/>
      <c r="X186" s="52">
        <v>21.23</v>
      </c>
      <c r="AB186" s="52">
        <v>0.37</v>
      </c>
      <c r="BG186">
        <f t="shared" ref="BG186:BG215" si="87">AH186/BG$2</f>
        <v>0</v>
      </c>
      <c r="BH186">
        <f t="shared" ref="BH186:BH215" si="88">AI186/BH$2</f>
        <v>0</v>
      </c>
      <c r="BI186">
        <f t="shared" ref="BI186:BI215" si="89">AJ186/BI$2</f>
        <v>0</v>
      </c>
      <c r="BJ186">
        <f t="shared" ref="BJ186:BJ215" si="90">AK186/BJ$2</f>
        <v>0</v>
      </c>
      <c r="BK186">
        <f t="shared" ref="BK186:BK215" si="91">AL186/BK$2</f>
        <v>0</v>
      </c>
      <c r="BL186">
        <f t="shared" ref="BL186:BL215" si="92">AM186/BL$2</f>
        <v>0</v>
      </c>
      <c r="BM186">
        <f t="shared" ref="BM186:BM215" si="93">AN186/BM$2</f>
        <v>0</v>
      </c>
      <c r="BN186">
        <f t="shared" ref="BN186:BN215" si="94">AO186/BN$2</f>
        <v>0</v>
      </c>
      <c r="BO186">
        <f t="shared" ref="BO186:BO215" si="95">AP186/BO$2</f>
        <v>0</v>
      </c>
      <c r="BP186">
        <f t="shared" ref="BP186:BP215" si="96">AQ186/BP$2</f>
        <v>0</v>
      </c>
      <c r="BQ186">
        <f t="shared" ref="BQ186:BQ215" si="97">AR186/BQ$2</f>
        <v>0</v>
      </c>
      <c r="BR186">
        <f t="shared" ref="BR186:BR215" si="98">AS186/BR$2</f>
        <v>0</v>
      </c>
      <c r="BS186">
        <f t="shared" ref="BS186:BS215" si="99">AT186/BS$2</f>
        <v>0</v>
      </c>
      <c r="BT186">
        <f t="shared" ref="BT186:BT215" si="100">AU186/BT$2</f>
        <v>0</v>
      </c>
      <c r="BU186" t="e">
        <f t="shared" si="70"/>
        <v>#DIV/0!</v>
      </c>
      <c r="BV186" t="e">
        <f t="shared" si="71"/>
        <v>#DIV/0!</v>
      </c>
      <c r="BX186" t="e">
        <f t="shared" si="72"/>
        <v>#DIV/0!</v>
      </c>
      <c r="BZ186" t="s">
        <v>173</v>
      </c>
      <c r="CA186" t="s">
        <v>173</v>
      </c>
      <c r="CB186" t="s">
        <v>173</v>
      </c>
      <c r="CC186" t="s">
        <v>173</v>
      </c>
      <c r="CD186" t="s">
        <v>173</v>
      </c>
      <c r="CE186" t="s">
        <v>173</v>
      </c>
      <c r="CF186">
        <v>0.2094</v>
      </c>
      <c r="CG186">
        <v>0.25869999999999999</v>
      </c>
      <c r="CH186" t="s">
        <v>173</v>
      </c>
      <c r="CI186">
        <v>0.1234</v>
      </c>
      <c r="CJ186" s="24">
        <v>0</v>
      </c>
      <c r="CK186">
        <v>0.12790000000000001</v>
      </c>
      <c r="CL186">
        <v>1.03E-2</v>
      </c>
      <c r="CM186">
        <v>0.2351</v>
      </c>
      <c r="CN186">
        <v>0</v>
      </c>
      <c r="CO186" t="s">
        <v>173</v>
      </c>
      <c r="CP186" t="s">
        <v>173</v>
      </c>
      <c r="CQ186" t="s">
        <v>173</v>
      </c>
      <c r="CR186" t="s">
        <v>173</v>
      </c>
      <c r="CS186" t="s">
        <v>173</v>
      </c>
      <c r="CT186" t="s">
        <v>173</v>
      </c>
      <c r="CU186" t="s">
        <v>173</v>
      </c>
      <c r="CV186" t="s">
        <v>173</v>
      </c>
      <c r="CW186" t="s">
        <v>173</v>
      </c>
      <c r="CX186">
        <v>0</v>
      </c>
      <c r="CY186">
        <v>0</v>
      </c>
      <c r="CZ186" t="s">
        <v>173</v>
      </c>
      <c r="DA186" t="s">
        <v>173</v>
      </c>
      <c r="DB186" t="s">
        <v>173</v>
      </c>
      <c r="DC186" s="24">
        <f t="shared" si="52"/>
        <v>0.1234</v>
      </c>
      <c r="DD186" s="24">
        <f t="shared" si="53"/>
        <v>0.46809999999999996</v>
      </c>
      <c r="DE186" s="24">
        <f t="shared" si="55"/>
        <v>0.36299999999999999</v>
      </c>
      <c r="DG186" s="5" t="e">
        <f t="shared" si="54"/>
        <v>#DIV/0!</v>
      </c>
    </row>
    <row r="187" spans="1:111">
      <c r="A187" s="48"/>
      <c r="B187" s="48"/>
      <c r="C187" s="48"/>
      <c r="D187" t="s">
        <v>300</v>
      </c>
      <c r="F187" s="48"/>
      <c r="G187" s="50"/>
      <c r="H187" s="50"/>
      <c r="I187" s="50"/>
      <c r="K187" s="50"/>
      <c r="L187" s="50"/>
      <c r="M187" s="50"/>
      <c r="N187" s="50"/>
      <c r="O187" s="50"/>
      <c r="Q187" s="50"/>
      <c r="T187" s="50"/>
      <c r="X187" s="50"/>
      <c r="AB187" s="50"/>
      <c r="BG187">
        <f t="shared" si="87"/>
        <v>0</v>
      </c>
      <c r="BH187">
        <f t="shared" si="88"/>
        <v>0</v>
      </c>
      <c r="BI187">
        <f t="shared" si="89"/>
        <v>0</v>
      </c>
      <c r="BJ187">
        <f t="shared" si="90"/>
        <v>0</v>
      </c>
      <c r="BK187">
        <f t="shared" si="91"/>
        <v>0</v>
      </c>
      <c r="BL187">
        <f t="shared" si="92"/>
        <v>0</v>
      </c>
      <c r="BM187">
        <f t="shared" si="93"/>
        <v>0</v>
      </c>
      <c r="BN187">
        <f t="shared" si="94"/>
        <v>0</v>
      </c>
      <c r="BO187">
        <f t="shared" si="95"/>
        <v>0</v>
      </c>
      <c r="BP187">
        <f t="shared" si="96"/>
        <v>0</v>
      </c>
      <c r="BQ187">
        <f t="shared" si="97"/>
        <v>0</v>
      </c>
      <c r="BR187">
        <f t="shared" si="98"/>
        <v>0</v>
      </c>
      <c r="BS187">
        <f t="shared" si="99"/>
        <v>0</v>
      </c>
      <c r="BT187">
        <f t="shared" si="100"/>
        <v>0</v>
      </c>
      <c r="BU187" t="e">
        <f t="shared" si="70"/>
        <v>#DIV/0!</v>
      </c>
      <c r="BV187" t="e">
        <f t="shared" si="71"/>
        <v>#DIV/0!</v>
      </c>
      <c r="BX187" t="e">
        <f t="shared" si="72"/>
        <v>#DIV/0!</v>
      </c>
      <c r="BZ187" t="e">
        <v>#DIV/0!</v>
      </c>
      <c r="CA187" t="e">
        <v>#DIV/0!</v>
      </c>
      <c r="CB187" t="e">
        <v>#DIV/0!</v>
      </c>
      <c r="CC187" t="e">
        <v>#DIV/0!</v>
      </c>
      <c r="CD187" t="e">
        <v>#DIV/0!</v>
      </c>
      <c r="CE187" t="e">
        <v>#DIV/0!</v>
      </c>
      <c r="CF187" t="e">
        <v>#DIV/0!</v>
      </c>
      <c r="CG187" t="e">
        <v>#DIV/0!</v>
      </c>
      <c r="CH187" t="e">
        <v>#DIV/0!</v>
      </c>
      <c r="CI187" t="e">
        <v>#DIV/0!</v>
      </c>
      <c r="CJ187" s="24">
        <v>0</v>
      </c>
      <c r="CK187" t="e">
        <v>#DIV/0!</v>
      </c>
      <c r="CL187" t="e">
        <v>#DIV/0!</v>
      </c>
      <c r="CM187" t="e">
        <v>#DIV/0!</v>
      </c>
      <c r="CN187" t="e">
        <v>#DIV/0!</v>
      </c>
      <c r="CO187" t="e">
        <v>#DIV/0!</v>
      </c>
      <c r="CP187" t="e">
        <v>#DIV/0!</v>
      </c>
      <c r="CQ187" t="e">
        <v>#DIV/0!</v>
      </c>
      <c r="CR187" t="e">
        <v>#DIV/0!</v>
      </c>
      <c r="CS187" t="e">
        <v>#DIV/0!</v>
      </c>
      <c r="CT187" t="e">
        <v>#DIV/0!</v>
      </c>
      <c r="CU187" t="e">
        <v>#DIV/0!</v>
      </c>
      <c r="CV187" t="e">
        <v>#DIV/0!</v>
      </c>
      <c r="CW187" t="e">
        <v>#DIV/0!</v>
      </c>
      <c r="CX187">
        <v>0</v>
      </c>
      <c r="CY187">
        <v>0</v>
      </c>
      <c r="CZ187" t="e">
        <v>#DIV/0!</v>
      </c>
      <c r="DA187" t="e">
        <v>#DIV/0!</v>
      </c>
      <c r="DB187" t="e">
        <v>#DIV/0!</v>
      </c>
      <c r="DC187" s="24" t="e">
        <f t="shared" si="52"/>
        <v>#DIV/0!</v>
      </c>
      <c r="DD187" s="24" t="e">
        <f t="shared" si="53"/>
        <v>#DIV/0!</v>
      </c>
      <c r="DE187" s="24" t="e">
        <f t="shared" si="55"/>
        <v>#DIV/0!</v>
      </c>
      <c r="DG187" s="5" t="e">
        <f t="shared" si="54"/>
        <v>#DIV/0!</v>
      </c>
    </row>
    <row r="188" spans="1:111">
      <c r="A188" s="54">
        <v>459142</v>
      </c>
      <c r="B188" s="52" t="s">
        <v>298</v>
      </c>
      <c r="C188" s="52" t="s">
        <v>299</v>
      </c>
      <c r="D188" t="s">
        <v>300</v>
      </c>
      <c r="F188" s="52" t="s">
        <v>122</v>
      </c>
      <c r="G188" s="52">
        <v>20.63</v>
      </c>
      <c r="H188" s="52">
        <v>10.33</v>
      </c>
      <c r="I188" s="52">
        <v>3.75</v>
      </c>
      <c r="K188" s="52">
        <v>12.27</v>
      </c>
      <c r="L188" s="52"/>
      <c r="M188" s="52">
        <v>2.39</v>
      </c>
      <c r="N188" s="52">
        <v>0.111</v>
      </c>
      <c r="O188" s="52">
        <v>30.35</v>
      </c>
      <c r="Q188" s="52">
        <v>0.13100000000000001</v>
      </c>
      <c r="T188" s="50"/>
      <c r="X188" s="52">
        <v>20.43</v>
      </c>
      <c r="AB188" s="52">
        <v>0.378</v>
      </c>
      <c r="BG188">
        <f t="shared" si="87"/>
        <v>0</v>
      </c>
      <c r="BH188">
        <f t="shared" si="88"/>
        <v>0</v>
      </c>
      <c r="BI188">
        <f t="shared" si="89"/>
        <v>0</v>
      </c>
      <c r="BJ188">
        <f t="shared" si="90"/>
        <v>0</v>
      </c>
      <c r="BK188">
        <f t="shared" si="91"/>
        <v>0</v>
      </c>
      <c r="BL188">
        <f t="shared" si="92"/>
        <v>0</v>
      </c>
      <c r="BM188">
        <f t="shared" si="93"/>
        <v>0</v>
      </c>
      <c r="BN188">
        <f t="shared" si="94"/>
        <v>0</v>
      </c>
      <c r="BO188">
        <f t="shared" si="95"/>
        <v>0</v>
      </c>
      <c r="BP188">
        <f t="shared" si="96"/>
        <v>0</v>
      </c>
      <c r="BQ188">
        <f t="shared" si="97"/>
        <v>0</v>
      </c>
      <c r="BR188">
        <f t="shared" si="98"/>
        <v>0</v>
      </c>
      <c r="BS188">
        <f t="shared" si="99"/>
        <v>0</v>
      </c>
      <c r="BT188">
        <f t="shared" si="100"/>
        <v>0</v>
      </c>
      <c r="BU188" t="e">
        <f t="shared" si="70"/>
        <v>#DIV/0!</v>
      </c>
      <c r="BV188" t="e">
        <f t="shared" si="71"/>
        <v>#DIV/0!</v>
      </c>
      <c r="BX188" t="e">
        <f t="shared" si="72"/>
        <v>#DIV/0!</v>
      </c>
      <c r="BZ188" t="s">
        <v>173</v>
      </c>
      <c r="CA188" t="s">
        <v>173</v>
      </c>
      <c r="CB188" t="s">
        <v>173</v>
      </c>
      <c r="CC188" t="s">
        <v>173</v>
      </c>
      <c r="CD188" t="s">
        <v>173</v>
      </c>
      <c r="CE188" t="s">
        <v>173</v>
      </c>
      <c r="CF188">
        <v>0.1976</v>
      </c>
      <c r="CG188">
        <v>0.24779999999999999</v>
      </c>
      <c r="CH188" t="s">
        <v>173</v>
      </c>
      <c r="CI188">
        <v>0.13239999999999999</v>
      </c>
      <c r="CJ188" s="24">
        <v>0</v>
      </c>
      <c r="CK188">
        <v>0.1502</v>
      </c>
      <c r="CL188">
        <v>1.14E-2</v>
      </c>
      <c r="CM188">
        <v>0.23749999999999999</v>
      </c>
      <c r="CN188">
        <v>0</v>
      </c>
      <c r="CO188" t="s">
        <v>173</v>
      </c>
      <c r="CP188" t="s">
        <v>173</v>
      </c>
      <c r="CQ188" t="s">
        <v>173</v>
      </c>
      <c r="CR188" t="s">
        <v>173</v>
      </c>
      <c r="CS188" t="s">
        <v>173</v>
      </c>
      <c r="CT188" t="s">
        <v>173</v>
      </c>
      <c r="CU188" t="s">
        <v>173</v>
      </c>
      <c r="CV188" t="s">
        <v>173</v>
      </c>
      <c r="CW188" t="s">
        <v>173</v>
      </c>
      <c r="CX188">
        <v>0</v>
      </c>
      <c r="CY188">
        <v>0</v>
      </c>
      <c r="CZ188">
        <v>2.8E-3</v>
      </c>
      <c r="DA188" t="s">
        <v>173</v>
      </c>
      <c r="DB188">
        <v>6.9999999999999999E-4</v>
      </c>
      <c r="DC188" s="24">
        <f t="shared" si="52"/>
        <v>0.13239999999999999</v>
      </c>
      <c r="DD188" s="24">
        <f t="shared" si="53"/>
        <v>0.44540000000000002</v>
      </c>
      <c r="DE188" s="24">
        <f t="shared" si="55"/>
        <v>0.38769999999999999</v>
      </c>
      <c r="DG188" s="5" t="e">
        <f t="shared" si="54"/>
        <v>#DIV/0!</v>
      </c>
    </row>
    <row r="189" spans="1:111">
      <c r="A189" s="54">
        <v>459142</v>
      </c>
      <c r="B189" s="52" t="s">
        <v>298</v>
      </c>
      <c r="C189" s="52" t="s">
        <v>299</v>
      </c>
      <c r="D189" t="s">
        <v>300</v>
      </c>
      <c r="F189" s="52" t="s">
        <v>122</v>
      </c>
      <c r="G189" s="52">
        <v>20.62</v>
      </c>
      <c r="H189" s="52">
        <v>10.3</v>
      </c>
      <c r="I189" s="52">
        <v>3.73</v>
      </c>
      <c r="K189" s="52">
        <v>12.1</v>
      </c>
      <c r="L189" s="52"/>
      <c r="M189" s="52">
        <v>2.4300000000000002</v>
      </c>
      <c r="N189" s="52">
        <v>7.4999999999999997E-2</v>
      </c>
      <c r="O189" s="52">
        <v>30.42</v>
      </c>
      <c r="Q189" s="52">
        <v>5.6000000000000001E-2</v>
      </c>
      <c r="T189" s="50"/>
      <c r="X189" s="52">
        <v>20.36</v>
      </c>
      <c r="AB189" s="52">
        <v>0.38</v>
      </c>
      <c r="BG189">
        <f t="shared" si="87"/>
        <v>0</v>
      </c>
      <c r="BH189">
        <f t="shared" si="88"/>
        <v>0</v>
      </c>
      <c r="BI189">
        <f t="shared" si="89"/>
        <v>0</v>
      </c>
      <c r="BJ189">
        <f t="shared" si="90"/>
        <v>0</v>
      </c>
      <c r="BK189">
        <f t="shared" si="91"/>
        <v>0</v>
      </c>
      <c r="BL189">
        <f t="shared" si="92"/>
        <v>0</v>
      </c>
      <c r="BM189">
        <f t="shared" si="93"/>
        <v>0</v>
      </c>
      <c r="BN189">
        <f t="shared" si="94"/>
        <v>0</v>
      </c>
      <c r="BO189">
        <f t="shared" si="95"/>
        <v>0</v>
      </c>
      <c r="BP189">
        <f t="shared" si="96"/>
        <v>0</v>
      </c>
      <c r="BQ189">
        <f t="shared" si="97"/>
        <v>0</v>
      </c>
      <c r="BR189">
        <f t="shared" si="98"/>
        <v>0</v>
      </c>
      <c r="BS189">
        <f t="shared" si="99"/>
        <v>0</v>
      </c>
      <c r="BT189">
        <f t="shared" si="100"/>
        <v>0</v>
      </c>
      <c r="BU189" t="e">
        <f t="shared" si="70"/>
        <v>#DIV/0!</v>
      </c>
      <c r="BV189" t="e">
        <f t="shared" si="71"/>
        <v>#DIV/0!</v>
      </c>
      <c r="BX189" t="e">
        <f t="shared" si="72"/>
        <v>#DIV/0!</v>
      </c>
      <c r="BZ189" t="s">
        <v>173</v>
      </c>
      <c r="CA189" t="s">
        <v>173</v>
      </c>
      <c r="CB189" t="s">
        <v>173</v>
      </c>
      <c r="CC189" t="s">
        <v>173</v>
      </c>
      <c r="CD189" t="s">
        <v>173</v>
      </c>
      <c r="CE189" t="s">
        <v>173</v>
      </c>
      <c r="CF189">
        <v>0.1971</v>
      </c>
      <c r="CG189">
        <v>0.24809999999999999</v>
      </c>
      <c r="CH189" t="s">
        <v>173</v>
      </c>
      <c r="CI189">
        <v>0.125</v>
      </c>
      <c r="CJ189" s="24">
        <v>0</v>
      </c>
      <c r="CK189">
        <v>0.1512</v>
      </c>
      <c r="CL189">
        <v>4.8999999999999998E-3</v>
      </c>
      <c r="CM189">
        <v>0.25140000000000001</v>
      </c>
      <c r="CN189">
        <v>0</v>
      </c>
      <c r="CO189" t="s">
        <v>173</v>
      </c>
      <c r="CP189" t="s">
        <v>173</v>
      </c>
      <c r="CQ189" t="s">
        <v>173</v>
      </c>
      <c r="CR189" t="s">
        <v>173</v>
      </c>
      <c r="CS189" t="s">
        <v>173</v>
      </c>
      <c r="CT189" t="s">
        <v>173</v>
      </c>
      <c r="CU189" t="s">
        <v>173</v>
      </c>
      <c r="CV189" t="s">
        <v>173</v>
      </c>
      <c r="CW189" t="s">
        <v>173</v>
      </c>
      <c r="CX189">
        <v>0</v>
      </c>
      <c r="CY189" t="s">
        <v>173</v>
      </c>
      <c r="CZ189" t="s">
        <v>173</v>
      </c>
      <c r="DA189" t="s">
        <v>173</v>
      </c>
      <c r="DB189" t="s">
        <v>173</v>
      </c>
      <c r="DC189" s="24">
        <f t="shared" si="52"/>
        <v>0.125</v>
      </c>
      <c r="DD189" s="24">
        <f t="shared" si="53"/>
        <v>0.44519999999999998</v>
      </c>
      <c r="DE189" s="24">
        <f t="shared" si="55"/>
        <v>0.40260000000000001</v>
      </c>
      <c r="DG189" s="5" t="e">
        <f t="shared" si="54"/>
        <v>#DIV/0!</v>
      </c>
    </row>
    <row r="190" spans="1:111">
      <c r="BG190">
        <f t="shared" si="87"/>
        <v>0</v>
      </c>
      <c r="BH190">
        <f t="shared" si="88"/>
        <v>0</v>
      </c>
      <c r="BI190">
        <f t="shared" si="89"/>
        <v>0</v>
      </c>
      <c r="BJ190">
        <f t="shared" si="90"/>
        <v>0</v>
      </c>
      <c r="BK190">
        <f t="shared" si="91"/>
        <v>0</v>
      </c>
      <c r="BL190">
        <f t="shared" si="92"/>
        <v>0</v>
      </c>
      <c r="BM190">
        <f t="shared" si="93"/>
        <v>0</v>
      </c>
      <c r="BN190">
        <f t="shared" si="94"/>
        <v>0</v>
      </c>
      <c r="BO190">
        <f t="shared" si="95"/>
        <v>0</v>
      </c>
      <c r="BP190">
        <f t="shared" si="96"/>
        <v>0</v>
      </c>
      <c r="BQ190">
        <f t="shared" si="97"/>
        <v>0</v>
      </c>
      <c r="BR190">
        <f t="shared" si="98"/>
        <v>0</v>
      </c>
      <c r="BS190">
        <f t="shared" si="99"/>
        <v>0</v>
      </c>
      <c r="BT190">
        <f t="shared" si="100"/>
        <v>0</v>
      </c>
      <c r="BU190" t="e">
        <f t="shared" si="70"/>
        <v>#DIV/0!</v>
      </c>
      <c r="BV190" t="e">
        <f t="shared" si="71"/>
        <v>#DIV/0!</v>
      </c>
      <c r="BX190" t="e">
        <f t="shared" si="72"/>
        <v>#DIV/0!</v>
      </c>
      <c r="CJ190" s="24">
        <v>0</v>
      </c>
      <c r="CK190">
        <v>0</v>
      </c>
      <c r="CL190">
        <v>0</v>
      </c>
      <c r="CM190">
        <v>0</v>
      </c>
      <c r="CN190">
        <v>0</v>
      </c>
      <c r="CX190">
        <v>0</v>
      </c>
      <c r="DC190" s="24">
        <f t="shared" si="52"/>
        <v>0</v>
      </c>
      <c r="DD190" s="24">
        <f t="shared" si="53"/>
        <v>0</v>
      </c>
      <c r="DE190" s="24">
        <f t="shared" si="55"/>
        <v>0</v>
      </c>
      <c r="DG190" s="5" t="e">
        <f t="shared" si="54"/>
        <v>#DIV/0!</v>
      </c>
    </row>
    <row r="191" spans="1:111">
      <c r="A191" s="62" t="s">
        <v>302</v>
      </c>
      <c r="C191" s="63"/>
      <c r="D191" s="63"/>
      <c r="E191" s="63"/>
      <c r="F191" s="63"/>
      <c r="G191" s="63" t="s">
        <v>2</v>
      </c>
      <c r="H191" s="63" t="s">
        <v>3</v>
      </c>
      <c r="I191" s="63" t="s">
        <v>4</v>
      </c>
      <c r="J191" s="63"/>
      <c r="K191" s="63" t="s">
        <v>303</v>
      </c>
      <c r="L191" s="63"/>
      <c r="M191" s="63" t="s">
        <v>6</v>
      </c>
      <c r="N191" s="63" t="s">
        <v>7</v>
      </c>
      <c r="O191" s="63" t="s">
        <v>8</v>
      </c>
      <c r="Q191" s="63" t="s">
        <v>10</v>
      </c>
      <c r="S191" s="63"/>
      <c r="T191" s="63"/>
      <c r="X191" s="63" t="s">
        <v>304</v>
      </c>
      <c r="BG191">
        <f t="shared" si="87"/>
        <v>0</v>
      </c>
      <c r="BH191">
        <f t="shared" si="88"/>
        <v>0</v>
      </c>
      <c r="BI191">
        <f t="shared" si="89"/>
        <v>0</v>
      </c>
      <c r="BJ191">
        <f t="shared" si="90"/>
        <v>0</v>
      </c>
      <c r="BK191">
        <f t="shared" si="91"/>
        <v>0</v>
      </c>
      <c r="BL191">
        <f t="shared" si="92"/>
        <v>0</v>
      </c>
      <c r="BM191">
        <f t="shared" si="93"/>
        <v>0</v>
      </c>
      <c r="BN191">
        <f t="shared" si="94"/>
        <v>0</v>
      </c>
      <c r="BO191">
        <f t="shared" si="95"/>
        <v>0</v>
      </c>
      <c r="BP191">
        <f t="shared" si="96"/>
        <v>0</v>
      </c>
      <c r="BQ191">
        <f t="shared" si="97"/>
        <v>0</v>
      </c>
      <c r="BR191">
        <f t="shared" si="98"/>
        <v>0</v>
      </c>
      <c r="BS191">
        <f t="shared" si="99"/>
        <v>0</v>
      </c>
      <c r="BT191">
        <f t="shared" si="100"/>
        <v>0</v>
      </c>
      <c r="BU191" t="e">
        <f t="shared" si="70"/>
        <v>#DIV/0!</v>
      </c>
      <c r="BV191" t="e">
        <f t="shared" si="71"/>
        <v>#DIV/0!</v>
      </c>
      <c r="BX191" t="e">
        <f t="shared" si="72"/>
        <v>#DIV/0!</v>
      </c>
      <c r="BZ191" t="s">
        <v>141</v>
      </c>
      <c r="CA191" t="s">
        <v>142</v>
      </c>
      <c r="CB191" t="s">
        <v>143</v>
      </c>
      <c r="CC191" t="s">
        <v>144</v>
      </c>
      <c r="CD191" t="s">
        <v>145</v>
      </c>
      <c r="CE191" t="s">
        <v>146</v>
      </c>
      <c r="CF191" t="s">
        <v>147</v>
      </c>
      <c r="CG191" t="s">
        <v>148</v>
      </c>
      <c r="CH191" t="s">
        <v>149</v>
      </c>
      <c r="CI191" t="s">
        <v>150</v>
      </c>
      <c r="CJ191" t="s">
        <v>151</v>
      </c>
      <c r="CK191" t="s">
        <v>152</v>
      </c>
      <c r="CL191" t="s">
        <v>153</v>
      </c>
      <c r="CM191" t="s">
        <v>154</v>
      </c>
      <c r="CN191" t="s">
        <v>155</v>
      </c>
      <c r="CO191" t="s">
        <v>156</v>
      </c>
      <c r="CP191" t="s">
        <v>157</v>
      </c>
      <c r="CQ191" t="s">
        <v>158</v>
      </c>
      <c r="CR191" t="s">
        <v>159</v>
      </c>
      <c r="CS191" t="s">
        <v>160</v>
      </c>
      <c r="CT191" t="s">
        <v>161</v>
      </c>
      <c r="CU191" t="s">
        <v>162</v>
      </c>
      <c r="CV191" t="s">
        <v>163</v>
      </c>
      <c r="CW191" t="s">
        <v>164</v>
      </c>
      <c r="CX191" t="s">
        <v>165</v>
      </c>
      <c r="CY191" t="s">
        <v>166</v>
      </c>
      <c r="CZ191" t="s">
        <v>167</v>
      </c>
      <c r="DA191" t="s">
        <v>168</v>
      </c>
      <c r="DB191" t="s">
        <v>169</v>
      </c>
      <c r="DC191" s="24" t="e">
        <f t="shared" si="52"/>
        <v>#VALUE!</v>
      </c>
      <c r="DD191" s="24" t="e">
        <f t="shared" si="53"/>
        <v>#VALUE!</v>
      </c>
      <c r="DE191" s="24" t="e">
        <f t="shared" si="55"/>
        <v>#VALUE!</v>
      </c>
      <c r="DG191" s="5" t="e">
        <f t="shared" si="54"/>
        <v>#DIV/0!</v>
      </c>
    </row>
    <row r="192" spans="1:111">
      <c r="B192" s="63" t="s">
        <v>305</v>
      </c>
      <c r="C192" s="63" t="s">
        <v>306</v>
      </c>
      <c r="D192" s="63" t="s">
        <v>122</v>
      </c>
      <c r="E192" s="63" t="s">
        <v>307</v>
      </c>
      <c r="F192" s="63"/>
      <c r="G192" s="63">
        <v>38.01</v>
      </c>
      <c r="H192" s="63">
        <v>0.3</v>
      </c>
      <c r="I192" s="63">
        <v>9.66</v>
      </c>
      <c r="J192" s="63"/>
      <c r="K192" s="63">
        <v>16.940000000000001</v>
      </c>
      <c r="L192" s="63"/>
      <c r="M192" s="63">
        <v>7.0000000000000007E-2</v>
      </c>
      <c r="N192" s="63">
        <v>0.48</v>
      </c>
      <c r="O192" s="63">
        <v>33.9</v>
      </c>
      <c r="Q192" s="63" t="s">
        <v>308</v>
      </c>
      <c r="S192" s="63"/>
      <c r="T192" s="63"/>
      <c r="X192" s="63">
        <v>7.0000000000000007E-2</v>
      </c>
      <c r="BG192">
        <f t="shared" si="87"/>
        <v>0</v>
      </c>
      <c r="BH192">
        <f t="shared" si="88"/>
        <v>0</v>
      </c>
      <c r="BI192">
        <f t="shared" si="89"/>
        <v>0</v>
      </c>
      <c r="BJ192">
        <f t="shared" si="90"/>
        <v>0</v>
      </c>
      <c r="BK192">
        <f t="shared" si="91"/>
        <v>0</v>
      </c>
      <c r="BL192">
        <f t="shared" si="92"/>
        <v>0</v>
      </c>
      <c r="BM192">
        <f t="shared" si="93"/>
        <v>0</v>
      </c>
      <c r="BN192">
        <f t="shared" si="94"/>
        <v>0</v>
      </c>
      <c r="BO192">
        <f t="shared" si="95"/>
        <v>0</v>
      </c>
      <c r="BP192">
        <f t="shared" si="96"/>
        <v>0</v>
      </c>
      <c r="BQ192">
        <f t="shared" si="97"/>
        <v>0</v>
      </c>
      <c r="BR192">
        <f t="shared" si="98"/>
        <v>0</v>
      </c>
      <c r="BS192">
        <f t="shared" si="99"/>
        <v>0</v>
      </c>
      <c r="BT192">
        <f t="shared" si="100"/>
        <v>0</v>
      </c>
      <c r="BU192" t="e">
        <f t="shared" si="70"/>
        <v>#DIV/0!</v>
      </c>
      <c r="BV192" t="e">
        <f t="shared" si="71"/>
        <v>#DIV/0!</v>
      </c>
      <c r="BX192" t="e">
        <f t="shared" si="72"/>
        <v>#DIV/0!</v>
      </c>
      <c r="BZ192" t="s">
        <v>173</v>
      </c>
      <c r="CA192" t="s">
        <v>173</v>
      </c>
      <c r="CB192" t="s">
        <v>173</v>
      </c>
      <c r="CC192" t="s">
        <v>173</v>
      </c>
      <c r="CD192" t="s">
        <v>173</v>
      </c>
      <c r="CE192" t="s">
        <v>173</v>
      </c>
      <c r="CF192">
        <v>0</v>
      </c>
      <c r="CG192">
        <v>0</v>
      </c>
      <c r="CH192" t="s">
        <v>173</v>
      </c>
      <c r="CI192">
        <v>0</v>
      </c>
      <c r="CJ192">
        <v>0</v>
      </c>
      <c r="CK192">
        <v>1.7899999999999999E-2</v>
      </c>
      <c r="CL192">
        <v>0</v>
      </c>
      <c r="CM192">
        <v>0</v>
      </c>
      <c r="CN192">
        <v>0</v>
      </c>
      <c r="CO192" t="s">
        <v>173</v>
      </c>
      <c r="CP192" t="s">
        <v>173</v>
      </c>
      <c r="CQ192" t="s">
        <v>173</v>
      </c>
      <c r="CR192" t="s">
        <v>173</v>
      </c>
      <c r="CS192" t="s">
        <v>173</v>
      </c>
      <c r="CT192" t="s">
        <v>173</v>
      </c>
      <c r="CU192">
        <v>1.0800000000000001E-2</v>
      </c>
      <c r="CV192">
        <v>2.8E-3</v>
      </c>
      <c r="CW192">
        <v>2.3800000000000002E-2</v>
      </c>
      <c r="CX192">
        <v>0.41520000000000001</v>
      </c>
      <c r="CY192">
        <v>0.50739999999999996</v>
      </c>
      <c r="CZ192" t="s">
        <v>173</v>
      </c>
      <c r="DA192" t="s">
        <v>173</v>
      </c>
      <c r="DB192" t="s">
        <v>173</v>
      </c>
      <c r="DC192" s="24">
        <f t="shared" si="52"/>
        <v>0</v>
      </c>
      <c r="DD192" s="24">
        <f t="shared" si="53"/>
        <v>0</v>
      </c>
      <c r="DE192" s="24">
        <f t="shared" si="55"/>
        <v>1.7899999999999999E-2</v>
      </c>
      <c r="DG192" s="5" t="e">
        <f t="shared" si="54"/>
        <v>#DIV/0!</v>
      </c>
    </row>
    <row r="193" spans="2:111">
      <c r="B193" s="63" t="s">
        <v>305</v>
      </c>
      <c r="C193" s="63" t="s">
        <v>309</v>
      </c>
      <c r="D193" s="63"/>
      <c r="E193" s="63"/>
      <c r="F193" s="63"/>
      <c r="G193" s="63">
        <v>37.69</v>
      </c>
      <c r="H193" s="63">
        <v>0.68</v>
      </c>
      <c r="I193" s="63">
        <v>8.9700000000000006</v>
      </c>
      <c r="J193" s="63"/>
      <c r="K193" s="63">
        <v>17.11</v>
      </c>
      <c r="L193" s="63"/>
      <c r="M193" s="63">
        <v>0.06</v>
      </c>
      <c r="N193" s="63">
        <v>0.51</v>
      </c>
      <c r="O193" s="63">
        <v>34.049999999999997</v>
      </c>
      <c r="Q193" s="63" t="s">
        <v>308</v>
      </c>
      <c r="S193" s="63"/>
      <c r="T193" s="63"/>
      <c r="X193" s="63" t="s">
        <v>308</v>
      </c>
      <c r="BG193">
        <f t="shared" si="87"/>
        <v>0</v>
      </c>
      <c r="BH193">
        <f t="shared" si="88"/>
        <v>0</v>
      </c>
      <c r="BI193">
        <f t="shared" si="89"/>
        <v>0</v>
      </c>
      <c r="BJ193">
        <f t="shared" si="90"/>
        <v>0</v>
      </c>
      <c r="BK193">
        <f t="shared" si="91"/>
        <v>0</v>
      </c>
      <c r="BL193">
        <f t="shared" si="92"/>
        <v>0</v>
      </c>
      <c r="BM193">
        <f t="shared" si="93"/>
        <v>0</v>
      </c>
      <c r="BN193">
        <f t="shared" si="94"/>
        <v>0</v>
      </c>
      <c r="BO193">
        <f t="shared" si="95"/>
        <v>0</v>
      </c>
      <c r="BP193">
        <f t="shared" si="96"/>
        <v>0</v>
      </c>
      <c r="BQ193">
        <f t="shared" si="97"/>
        <v>0</v>
      </c>
      <c r="BR193">
        <f t="shared" si="98"/>
        <v>0</v>
      </c>
      <c r="BS193">
        <f t="shared" si="99"/>
        <v>0</v>
      </c>
      <c r="BT193">
        <f t="shared" si="100"/>
        <v>0</v>
      </c>
      <c r="BU193" t="e">
        <f t="shared" si="70"/>
        <v>#DIV/0!</v>
      </c>
      <c r="BV193" t="e">
        <f t="shared" si="71"/>
        <v>#DIV/0!</v>
      </c>
      <c r="BX193" t="e">
        <f t="shared" si="72"/>
        <v>#DIV/0!</v>
      </c>
      <c r="BZ193" t="s">
        <v>173</v>
      </c>
      <c r="CA193" t="s">
        <v>173</v>
      </c>
      <c r="CB193" t="s">
        <v>173</v>
      </c>
      <c r="CC193" t="s">
        <v>173</v>
      </c>
      <c r="CD193" t="s">
        <v>173</v>
      </c>
      <c r="CE193" t="s">
        <v>173</v>
      </c>
      <c r="CF193">
        <v>0</v>
      </c>
      <c r="CG193">
        <v>0</v>
      </c>
      <c r="CH193" t="s">
        <v>173</v>
      </c>
      <c r="CI193">
        <v>0</v>
      </c>
      <c r="CJ193">
        <v>0</v>
      </c>
      <c r="CK193">
        <v>4.0899999999999999E-2</v>
      </c>
      <c r="CL193">
        <v>0</v>
      </c>
      <c r="CM193">
        <v>0</v>
      </c>
      <c r="CN193">
        <v>0</v>
      </c>
      <c r="CO193" t="s">
        <v>173</v>
      </c>
      <c r="CP193" t="s">
        <v>173</v>
      </c>
      <c r="CQ193" t="s">
        <v>173</v>
      </c>
      <c r="CR193" t="s">
        <v>173</v>
      </c>
      <c r="CS193" t="s">
        <v>173</v>
      </c>
      <c r="CT193" t="s">
        <v>173</v>
      </c>
      <c r="CU193">
        <v>1.15E-2</v>
      </c>
      <c r="CV193">
        <v>2.3999999999999998E-3</v>
      </c>
      <c r="CW193">
        <v>1.41E-2</v>
      </c>
      <c r="CX193">
        <v>0.39450000000000002</v>
      </c>
      <c r="CY193">
        <v>0.52400000000000002</v>
      </c>
      <c r="CZ193" t="s">
        <v>173</v>
      </c>
      <c r="DA193" t="s">
        <v>173</v>
      </c>
      <c r="DB193" t="s">
        <v>173</v>
      </c>
      <c r="DC193" s="24">
        <f t="shared" si="52"/>
        <v>0</v>
      </c>
      <c r="DD193" s="24">
        <f t="shared" si="53"/>
        <v>0</v>
      </c>
      <c r="DE193" s="24">
        <f t="shared" si="55"/>
        <v>4.0899999999999999E-2</v>
      </c>
      <c r="DG193" s="5" t="e">
        <f t="shared" si="54"/>
        <v>#DIV/0!</v>
      </c>
    </row>
    <row r="194" spans="2:111">
      <c r="B194" s="63" t="s">
        <v>305</v>
      </c>
      <c r="C194" s="63" t="s">
        <v>310</v>
      </c>
      <c r="D194" s="63"/>
      <c r="E194" s="63"/>
      <c r="F194" s="63"/>
      <c r="G194" s="63">
        <v>37.75</v>
      </c>
      <c r="H194" s="63">
        <v>0.76</v>
      </c>
      <c r="I194" s="63">
        <v>8.5500000000000007</v>
      </c>
      <c r="J194" s="63"/>
      <c r="K194" s="63">
        <v>17.809999999999999</v>
      </c>
      <c r="L194" s="63"/>
      <c r="M194" s="63">
        <v>7.0000000000000007E-2</v>
      </c>
      <c r="N194" s="63">
        <v>0.57999999999999996</v>
      </c>
      <c r="O194" s="63">
        <v>33.729999999999997</v>
      </c>
      <c r="Q194" s="63">
        <v>0.01</v>
      </c>
      <c r="S194" s="63"/>
      <c r="T194" s="63"/>
      <c r="X194" s="63" t="s">
        <v>308</v>
      </c>
      <c r="BG194">
        <f t="shared" si="87"/>
        <v>0</v>
      </c>
      <c r="BH194">
        <f t="shared" si="88"/>
        <v>0</v>
      </c>
      <c r="BI194">
        <f t="shared" si="89"/>
        <v>0</v>
      </c>
      <c r="BJ194">
        <f t="shared" si="90"/>
        <v>0</v>
      </c>
      <c r="BK194">
        <f t="shared" si="91"/>
        <v>0</v>
      </c>
      <c r="BL194">
        <f t="shared" si="92"/>
        <v>0</v>
      </c>
      <c r="BM194">
        <f t="shared" si="93"/>
        <v>0</v>
      </c>
      <c r="BN194">
        <f t="shared" si="94"/>
        <v>0</v>
      </c>
      <c r="BO194">
        <f t="shared" si="95"/>
        <v>0</v>
      </c>
      <c r="BP194">
        <f t="shared" si="96"/>
        <v>0</v>
      </c>
      <c r="BQ194">
        <f t="shared" si="97"/>
        <v>0</v>
      </c>
      <c r="BR194">
        <f t="shared" si="98"/>
        <v>0</v>
      </c>
      <c r="BS194">
        <f t="shared" si="99"/>
        <v>0</v>
      </c>
      <c r="BT194">
        <f t="shared" si="100"/>
        <v>0</v>
      </c>
      <c r="BU194" t="e">
        <f t="shared" si="70"/>
        <v>#DIV/0!</v>
      </c>
      <c r="BV194" t="e">
        <f t="shared" si="71"/>
        <v>#DIV/0!</v>
      </c>
      <c r="BX194" t="e">
        <f t="shared" si="72"/>
        <v>#DIV/0!</v>
      </c>
      <c r="BZ194" t="s">
        <v>173</v>
      </c>
      <c r="CA194" t="s">
        <v>173</v>
      </c>
      <c r="CB194" t="s">
        <v>173</v>
      </c>
      <c r="CC194" t="s">
        <v>173</v>
      </c>
      <c r="CD194" t="s">
        <v>173</v>
      </c>
      <c r="CE194" t="s">
        <v>173</v>
      </c>
      <c r="CF194">
        <v>0</v>
      </c>
      <c r="CG194">
        <v>0</v>
      </c>
      <c r="CH194" t="s">
        <v>173</v>
      </c>
      <c r="CI194">
        <v>0</v>
      </c>
      <c r="CJ194">
        <v>0</v>
      </c>
      <c r="CK194">
        <v>4.5699999999999998E-2</v>
      </c>
      <c r="CL194">
        <v>0</v>
      </c>
      <c r="CM194">
        <v>0</v>
      </c>
      <c r="CN194">
        <v>0</v>
      </c>
      <c r="CO194" t="s">
        <v>173</v>
      </c>
      <c r="CP194" t="s">
        <v>173</v>
      </c>
      <c r="CQ194" t="s">
        <v>173</v>
      </c>
      <c r="CR194" t="s">
        <v>173</v>
      </c>
      <c r="CS194" t="s">
        <v>173</v>
      </c>
      <c r="CT194" t="s">
        <v>173</v>
      </c>
      <c r="CU194">
        <v>1.3100000000000001E-2</v>
      </c>
      <c r="CV194">
        <v>2.8E-3</v>
      </c>
      <c r="CW194">
        <v>2.07E-2</v>
      </c>
      <c r="CX194">
        <v>0.3664</v>
      </c>
      <c r="CY194">
        <v>0.53220000000000001</v>
      </c>
      <c r="CZ194" t="s">
        <v>173</v>
      </c>
      <c r="DA194" t="s">
        <v>173</v>
      </c>
      <c r="DB194" t="s">
        <v>173</v>
      </c>
      <c r="DC194" s="24">
        <f t="shared" si="52"/>
        <v>0</v>
      </c>
      <c r="DD194" s="24">
        <f t="shared" si="53"/>
        <v>0</v>
      </c>
      <c r="DE194" s="24">
        <f t="shared" si="55"/>
        <v>4.5699999999999998E-2</v>
      </c>
      <c r="DG194" s="5" t="e">
        <f t="shared" si="54"/>
        <v>#DIV/0!</v>
      </c>
    </row>
    <row r="195" spans="2:111">
      <c r="B195" s="63" t="s">
        <v>305</v>
      </c>
      <c r="C195" s="63" t="s">
        <v>311</v>
      </c>
      <c r="D195" s="63" t="s">
        <v>123</v>
      </c>
      <c r="E195" s="63"/>
      <c r="F195" s="63"/>
      <c r="G195" s="63">
        <v>37.340000000000003</v>
      </c>
      <c r="H195" s="63">
        <v>1.02</v>
      </c>
      <c r="I195" s="63">
        <v>6.72</v>
      </c>
      <c r="J195" s="63"/>
      <c r="K195" s="63">
        <v>19.96</v>
      </c>
      <c r="L195" s="63"/>
      <c r="M195" s="63">
        <v>0.09</v>
      </c>
      <c r="N195" s="63">
        <v>0.49</v>
      </c>
      <c r="O195" s="63">
        <v>33.19</v>
      </c>
      <c r="Q195" s="63">
        <v>0.03</v>
      </c>
      <c r="S195" s="63"/>
      <c r="T195" s="63"/>
      <c r="X195" s="63">
        <v>0.02</v>
      </c>
      <c r="BG195">
        <f t="shared" si="87"/>
        <v>0</v>
      </c>
      <c r="BH195">
        <f t="shared" si="88"/>
        <v>0</v>
      </c>
      <c r="BI195">
        <f t="shared" si="89"/>
        <v>0</v>
      </c>
      <c r="BJ195">
        <f t="shared" si="90"/>
        <v>0</v>
      </c>
      <c r="BK195">
        <f t="shared" si="91"/>
        <v>0</v>
      </c>
      <c r="BL195">
        <f t="shared" si="92"/>
        <v>0</v>
      </c>
      <c r="BM195">
        <f t="shared" si="93"/>
        <v>0</v>
      </c>
      <c r="BN195">
        <f t="shared" si="94"/>
        <v>0</v>
      </c>
      <c r="BO195">
        <f t="shared" si="95"/>
        <v>0</v>
      </c>
      <c r="BP195">
        <f t="shared" si="96"/>
        <v>0</v>
      </c>
      <c r="BQ195">
        <f t="shared" si="97"/>
        <v>0</v>
      </c>
      <c r="BR195">
        <f t="shared" si="98"/>
        <v>0</v>
      </c>
      <c r="BS195">
        <f t="shared" si="99"/>
        <v>0</v>
      </c>
      <c r="BT195">
        <f t="shared" si="100"/>
        <v>0</v>
      </c>
      <c r="BU195" t="e">
        <f t="shared" si="70"/>
        <v>#DIV/0!</v>
      </c>
      <c r="BV195" t="e">
        <f t="shared" si="71"/>
        <v>#DIV/0!</v>
      </c>
      <c r="BX195" t="e">
        <f t="shared" si="72"/>
        <v>#DIV/0!</v>
      </c>
      <c r="BZ195" t="s">
        <v>173</v>
      </c>
      <c r="CA195" t="s">
        <v>173</v>
      </c>
      <c r="CB195" t="s">
        <v>173</v>
      </c>
      <c r="CC195" t="s">
        <v>173</v>
      </c>
      <c r="CD195" t="s">
        <v>173</v>
      </c>
      <c r="CE195" t="s">
        <v>173</v>
      </c>
      <c r="CF195">
        <v>0</v>
      </c>
      <c r="CG195">
        <v>0</v>
      </c>
      <c r="CH195" t="s">
        <v>173</v>
      </c>
      <c r="CI195">
        <v>0</v>
      </c>
      <c r="CJ195">
        <v>0</v>
      </c>
      <c r="CK195">
        <v>6.2100000000000002E-2</v>
      </c>
      <c r="CL195">
        <v>0</v>
      </c>
      <c r="CM195">
        <v>0</v>
      </c>
      <c r="CN195">
        <v>0</v>
      </c>
      <c r="CO195" t="s">
        <v>173</v>
      </c>
      <c r="CP195" t="s">
        <v>173</v>
      </c>
      <c r="CQ195" t="s">
        <v>173</v>
      </c>
      <c r="CR195" t="s">
        <v>173</v>
      </c>
      <c r="CS195" t="s">
        <v>173</v>
      </c>
      <c r="CT195" t="s">
        <v>173</v>
      </c>
      <c r="CU195">
        <v>1.12E-2</v>
      </c>
      <c r="CV195">
        <v>3.5999999999999999E-3</v>
      </c>
      <c r="CW195">
        <v>2.5700000000000001E-2</v>
      </c>
      <c r="CX195">
        <v>0.28010000000000002</v>
      </c>
      <c r="CY195">
        <v>0.5948</v>
      </c>
      <c r="CZ195" t="s">
        <v>173</v>
      </c>
      <c r="DA195" t="s">
        <v>173</v>
      </c>
      <c r="DB195" t="s">
        <v>173</v>
      </c>
      <c r="DC195" s="24">
        <f t="shared" ref="DC195:DC258" si="101">CI195+CJ195</f>
        <v>0</v>
      </c>
      <c r="DD195" s="24">
        <f t="shared" ref="DD195:DD258" si="102">CF195+CG195</f>
        <v>0</v>
      </c>
      <c r="DE195" s="24">
        <f t="shared" si="55"/>
        <v>6.2100000000000002E-2</v>
      </c>
      <c r="DG195" s="5" t="e">
        <f t="shared" ref="DG195:DG253" si="103">AG195/AV195</f>
        <v>#DIV/0!</v>
      </c>
    </row>
    <row r="196" spans="2:111">
      <c r="B196" s="63" t="s">
        <v>305</v>
      </c>
      <c r="C196" s="63" t="s">
        <v>312</v>
      </c>
      <c r="D196" s="63"/>
      <c r="E196" s="63"/>
      <c r="F196" s="63"/>
      <c r="G196" s="63">
        <v>37.31</v>
      </c>
      <c r="H196" s="63">
        <v>0.13</v>
      </c>
      <c r="I196" s="63">
        <v>6.4</v>
      </c>
      <c r="J196" s="63"/>
      <c r="K196" s="63">
        <v>21.45</v>
      </c>
      <c r="L196" s="63"/>
      <c r="M196" s="63">
        <v>0.05</v>
      </c>
      <c r="N196" s="63">
        <v>0.54</v>
      </c>
      <c r="O196" s="63">
        <v>33.020000000000003</v>
      </c>
      <c r="Q196" s="63">
        <v>0.03</v>
      </c>
      <c r="S196" s="63"/>
      <c r="T196" s="63"/>
      <c r="X196" s="63" t="s">
        <v>308</v>
      </c>
      <c r="BG196">
        <f t="shared" si="87"/>
        <v>0</v>
      </c>
      <c r="BH196">
        <f t="shared" si="88"/>
        <v>0</v>
      </c>
      <c r="BI196">
        <f t="shared" si="89"/>
        <v>0</v>
      </c>
      <c r="BJ196">
        <f t="shared" si="90"/>
        <v>0</v>
      </c>
      <c r="BK196">
        <f t="shared" si="91"/>
        <v>0</v>
      </c>
      <c r="BL196">
        <f t="shared" si="92"/>
        <v>0</v>
      </c>
      <c r="BM196">
        <f t="shared" si="93"/>
        <v>0</v>
      </c>
      <c r="BN196">
        <f t="shared" si="94"/>
        <v>0</v>
      </c>
      <c r="BO196">
        <f t="shared" si="95"/>
        <v>0</v>
      </c>
      <c r="BP196">
        <f t="shared" si="96"/>
        <v>0</v>
      </c>
      <c r="BQ196">
        <f t="shared" si="97"/>
        <v>0</v>
      </c>
      <c r="BR196">
        <f t="shared" si="98"/>
        <v>0</v>
      </c>
      <c r="BS196">
        <f t="shared" si="99"/>
        <v>0</v>
      </c>
      <c r="BT196">
        <f t="shared" si="100"/>
        <v>0</v>
      </c>
      <c r="BU196" t="e">
        <f t="shared" si="70"/>
        <v>#DIV/0!</v>
      </c>
      <c r="BV196" t="e">
        <f t="shared" si="71"/>
        <v>#DIV/0!</v>
      </c>
      <c r="BX196" t="e">
        <f t="shared" si="72"/>
        <v>#DIV/0!</v>
      </c>
      <c r="BZ196" t="s">
        <v>173</v>
      </c>
      <c r="CA196" t="s">
        <v>173</v>
      </c>
      <c r="CB196" t="s">
        <v>173</v>
      </c>
      <c r="CC196" t="s">
        <v>173</v>
      </c>
      <c r="CD196" t="s">
        <v>173</v>
      </c>
      <c r="CE196" t="s">
        <v>173</v>
      </c>
      <c r="CF196">
        <v>0</v>
      </c>
      <c r="CG196">
        <v>0</v>
      </c>
      <c r="CH196" t="s">
        <v>173</v>
      </c>
      <c r="CI196">
        <v>0</v>
      </c>
      <c r="CJ196">
        <v>0</v>
      </c>
      <c r="CK196">
        <v>7.9000000000000008E-3</v>
      </c>
      <c r="CL196">
        <v>0</v>
      </c>
      <c r="CM196">
        <v>0</v>
      </c>
      <c r="CN196">
        <v>0</v>
      </c>
      <c r="CO196" t="s">
        <v>173</v>
      </c>
      <c r="CP196" t="s">
        <v>173</v>
      </c>
      <c r="CQ196" t="s">
        <v>173</v>
      </c>
      <c r="CR196" t="s">
        <v>173</v>
      </c>
      <c r="CS196" t="s">
        <v>173</v>
      </c>
      <c r="CT196" t="s">
        <v>173</v>
      </c>
      <c r="CU196">
        <v>1.23E-2</v>
      </c>
      <c r="CV196">
        <v>2E-3</v>
      </c>
      <c r="CW196">
        <v>3.0700000000000002E-2</v>
      </c>
      <c r="CX196">
        <v>0.26029999999999998</v>
      </c>
      <c r="CY196">
        <v>0.66569999999999996</v>
      </c>
      <c r="CZ196" t="s">
        <v>173</v>
      </c>
      <c r="DA196" t="s">
        <v>173</v>
      </c>
      <c r="DB196" t="s">
        <v>173</v>
      </c>
      <c r="DC196" s="24">
        <f t="shared" si="101"/>
        <v>0</v>
      </c>
      <c r="DD196" s="24">
        <f t="shared" si="102"/>
        <v>0</v>
      </c>
      <c r="DE196" s="24">
        <f t="shared" ref="DE196:DE259" si="104">CK196+CM196+CN196</f>
        <v>7.9000000000000008E-3</v>
      </c>
      <c r="DG196" s="5" t="e">
        <f t="shared" si="103"/>
        <v>#DIV/0!</v>
      </c>
    </row>
    <row r="197" spans="2:111">
      <c r="B197" s="63" t="s">
        <v>305</v>
      </c>
      <c r="C197" s="63" t="s">
        <v>313</v>
      </c>
      <c r="D197" s="63"/>
      <c r="E197" s="63"/>
      <c r="F197" s="63"/>
      <c r="G197" s="63">
        <v>36.69</v>
      </c>
      <c r="H197" s="63">
        <v>2.5499999999999998</v>
      </c>
      <c r="I197" s="63">
        <v>5.71</v>
      </c>
      <c r="J197" s="63"/>
      <c r="K197" s="63">
        <v>19.89</v>
      </c>
      <c r="L197" s="63"/>
      <c r="M197" s="63">
        <v>0.16</v>
      </c>
      <c r="N197" s="63">
        <v>0.51</v>
      </c>
      <c r="O197" s="63">
        <v>32.909999999999997</v>
      </c>
      <c r="Q197" s="63" t="s">
        <v>308</v>
      </c>
      <c r="S197" s="63"/>
      <c r="T197" s="63"/>
      <c r="X197" s="63">
        <v>7.0000000000000007E-2</v>
      </c>
      <c r="BG197">
        <f t="shared" si="87"/>
        <v>0</v>
      </c>
      <c r="BH197">
        <f t="shared" si="88"/>
        <v>0</v>
      </c>
      <c r="BI197">
        <f t="shared" si="89"/>
        <v>0</v>
      </c>
      <c r="BJ197">
        <f t="shared" si="90"/>
        <v>0</v>
      </c>
      <c r="BK197">
        <f t="shared" si="91"/>
        <v>0</v>
      </c>
      <c r="BL197">
        <f t="shared" si="92"/>
        <v>0</v>
      </c>
      <c r="BM197">
        <f t="shared" si="93"/>
        <v>0</v>
      </c>
      <c r="BN197">
        <f t="shared" si="94"/>
        <v>0</v>
      </c>
      <c r="BO197">
        <f t="shared" si="95"/>
        <v>0</v>
      </c>
      <c r="BP197">
        <f t="shared" si="96"/>
        <v>0</v>
      </c>
      <c r="BQ197">
        <f t="shared" si="97"/>
        <v>0</v>
      </c>
      <c r="BR197">
        <f t="shared" si="98"/>
        <v>0</v>
      </c>
      <c r="BS197">
        <f t="shared" si="99"/>
        <v>0</v>
      </c>
      <c r="BT197">
        <f t="shared" si="100"/>
        <v>0</v>
      </c>
      <c r="BU197" t="e">
        <f t="shared" si="70"/>
        <v>#DIV/0!</v>
      </c>
      <c r="BV197" t="e">
        <f t="shared" si="71"/>
        <v>#DIV/0!</v>
      </c>
      <c r="BX197" t="e">
        <f t="shared" si="72"/>
        <v>#DIV/0!</v>
      </c>
      <c r="BZ197" t="s">
        <v>173</v>
      </c>
      <c r="CA197" t="s">
        <v>173</v>
      </c>
      <c r="CB197" t="s">
        <v>173</v>
      </c>
      <c r="CC197" t="s">
        <v>173</v>
      </c>
      <c r="CD197" t="s">
        <v>173</v>
      </c>
      <c r="CE197" t="s">
        <v>173</v>
      </c>
      <c r="CF197">
        <v>0</v>
      </c>
      <c r="CG197">
        <v>0</v>
      </c>
      <c r="CH197" t="s">
        <v>173</v>
      </c>
      <c r="CI197">
        <v>0</v>
      </c>
      <c r="CJ197">
        <v>1E-3</v>
      </c>
      <c r="CK197">
        <v>0.15479999999999999</v>
      </c>
      <c r="CL197">
        <v>0</v>
      </c>
      <c r="CM197">
        <v>0</v>
      </c>
      <c r="CN197">
        <v>0</v>
      </c>
      <c r="CO197" t="s">
        <v>173</v>
      </c>
      <c r="CP197" t="s">
        <v>173</v>
      </c>
      <c r="CQ197" t="s">
        <v>173</v>
      </c>
      <c r="CR197" t="s">
        <v>173</v>
      </c>
      <c r="CS197" t="s">
        <v>173</v>
      </c>
      <c r="CT197" t="s">
        <v>173</v>
      </c>
      <c r="CU197">
        <v>1.18E-2</v>
      </c>
      <c r="CV197">
        <v>6.4999999999999997E-3</v>
      </c>
      <c r="CW197">
        <v>2.1299999999999999E-2</v>
      </c>
      <c r="CX197">
        <v>0.2344</v>
      </c>
      <c r="CY197">
        <v>0.57030000000000003</v>
      </c>
      <c r="CZ197" t="s">
        <v>173</v>
      </c>
      <c r="DA197" t="s">
        <v>173</v>
      </c>
      <c r="DB197" t="s">
        <v>173</v>
      </c>
      <c r="DC197" s="24">
        <f t="shared" si="101"/>
        <v>1E-3</v>
      </c>
      <c r="DD197" s="24">
        <f t="shared" si="102"/>
        <v>0</v>
      </c>
      <c r="DE197" s="24">
        <f t="shared" si="104"/>
        <v>0.15479999999999999</v>
      </c>
      <c r="DG197" s="5" t="e">
        <f t="shared" si="103"/>
        <v>#DIV/0!</v>
      </c>
    </row>
    <row r="198" spans="2:111">
      <c r="B198" s="63" t="s">
        <v>305</v>
      </c>
      <c r="C198" s="63" t="s">
        <v>314</v>
      </c>
      <c r="D198" s="63"/>
      <c r="E198" s="63"/>
      <c r="F198" s="63"/>
      <c r="G198" s="63">
        <v>36.97</v>
      </c>
      <c r="H198" s="63">
        <v>2.46</v>
      </c>
      <c r="I198" s="63">
        <v>7.13</v>
      </c>
      <c r="J198" s="63"/>
      <c r="K198" s="63">
        <v>18.260000000000002</v>
      </c>
      <c r="L198" s="63"/>
      <c r="M198" s="63">
        <v>0.13</v>
      </c>
      <c r="N198" s="63">
        <v>0.61</v>
      </c>
      <c r="O198" s="63">
        <v>33.14</v>
      </c>
      <c r="Q198" s="63">
        <v>0.02</v>
      </c>
      <c r="S198" s="63"/>
      <c r="T198" s="63"/>
      <c r="X198" s="63">
        <v>0.1</v>
      </c>
      <c r="BG198">
        <f t="shared" si="87"/>
        <v>0</v>
      </c>
      <c r="BH198">
        <f t="shared" si="88"/>
        <v>0</v>
      </c>
      <c r="BI198">
        <f t="shared" si="89"/>
        <v>0</v>
      </c>
      <c r="BJ198">
        <f t="shared" si="90"/>
        <v>0</v>
      </c>
      <c r="BK198">
        <f t="shared" si="91"/>
        <v>0</v>
      </c>
      <c r="BL198">
        <f t="shared" si="92"/>
        <v>0</v>
      </c>
      <c r="BM198">
        <f t="shared" si="93"/>
        <v>0</v>
      </c>
      <c r="BN198">
        <f t="shared" si="94"/>
        <v>0</v>
      </c>
      <c r="BO198">
        <f t="shared" si="95"/>
        <v>0</v>
      </c>
      <c r="BP198">
        <f t="shared" si="96"/>
        <v>0</v>
      </c>
      <c r="BQ198">
        <f t="shared" si="97"/>
        <v>0</v>
      </c>
      <c r="BR198">
        <f t="shared" si="98"/>
        <v>0</v>
      </c>
      <c r="BS198">
        <f t="shared" si="99"/>
        <v>0</v>
      </c>
      <c r="BT198">
        <f t="shared" si="100"/>
        <v>0</v>
      </c>
      <c r="BU198" t="e">
        <f t="shared" si="70"/>
        <v>#DIV/0!</v>
      </c>
      <c r="BV198" t="e">
        <f t="shared" si="71"/>
        <v>#DIV/0!</v>
      </c>
      <c r="BX198" t="e">
        <f t="shared" si="72"/>
        <v>#DIV/0!</v>
      </c>
      <c r="BZ198" t="s">
        <v>173</v>
      </c>
      <c r="CA198" t="s">
        <v>173</v>
      </c>
      <c r="CB198" t="s">
        <v>173</v>
      </c>
      <c r="CC198" t="s">
        <v>173</v>
      </c>
      <c r="CD198" t="s">
        <v>173</v>
      </c>
      <c r="CE198" t="s">
        <v>173</v>
      </c>
      <c r="CF198">
        <v>0</v>
      </c>
      <c r="CG198">
        <v>0</v>
      </c>
      <c r="CH198" t="s">
        <v>173</v>
      </c>
      <c r="CI198">
        <v>0</v>
      </c>
      <c r="CJ198">
        <v>1.9E-3</v>
      </c>
      <c r="CK198">
        <v>0.14610000000000001</v>
      </c>
      <c r="CL198">
        <v>0</v>
      </c>
      <c r="CM198">
        <v>0</v>
      </c>
      <c r="CN198">
        <v>0</v>
      </c>
      <c r="CO198" t="s">
        <v>173</v>
      </c>
      <c r="CP198" t="s">
        <v>173</v>
      </c>
      <c r="CQ198" t="s">
        <v>173</v>
      </c>
      <c r="CR198" t="s">
        <v>173</v>
      </c>
      <c r="CS198" t="s">
        <v>173</v>
      </c>
      <c r="CT198" t="s">
        <v>173</v>
      </c>
      <c r="CU198">
        <v>1.4E-2</v>
      </c>
      <c r="CV198">
        <v>5.1999999999999998E-3</v>
      </c>
      <c r="CW198">
        <v>2.1600000000000001E-2</v>
      </c>
      <c r="CX198">
        <v>0.29780000000000001</v>
      </c>
      <c r="CY198">
        <v>0.51339999999999997</v>
      </c>
      <c r="CZ198" t="s">
        <v>173</v>
      </c>
      <c r="DA198" t="s">
        <v>173</v>
      </c>
      <c r="DB198" t="s">
        <v>173</v>
      </c>
      <c r="DC198" s="24">
        <f t="shared" si="101"/>
        <v>1.9E-3</v>
      </c>
      <c r="DD198" s="24">
        <f t="shared" si="102"/>
        <v>0</v>
      </c>
      <c r="DE198" s="24">
        <f t="shared" si="104"/>
        <v>0.14610000000000001</v>
      </c>
      <c r="DG198" s="5" t="e">
        <f t="shared" si="103"/>
        <v>#DIV/0!</v>
      </c>
    </row>
    <row r="199" spans="2:111">
      <c r="B199" s="63" t="s">
        <v>305</v>
      </c>
      <c r="C199" s="63" t="s">
        <v>306</v>
      </c>
      <c r="D199" s="63" t="s">
        <v>122</v>
      </c>
      <c r="E199" s="63" t="s">
        <v>315</v>
      </c>
      <c r="F199" s="63"/>
      <c r="G199" s="63">
        <v>38.08</v>
      </c>
      <c r="H199" s="63">
        <v>0.12</v>
      </c>
      <c r="I199" s="63">
        <v>8.49</v>
      </c>
      <c r="J199" s="63"/>
      <c r="K199" s="63">
        <v>18.510000000000002</v>
      </c>
      <c r="L199" s="63"/>
      <c r="M199" s="63">
        <v>0.02</v>
      </c>
      <c r="N199" s="63">
        <v>0.33</v>
      </c>
      <c r="O199" s="63">
        <v>34.130000000000003</v>
      </c>
      <c r="Q199" s="63">
        <v>0.02</v>
      </c>
      <c r="S199" s="63"/>
      <c r="T199" s="63"/>
      <c r="X199" s="63" t="s">
        <v>308</v>
      </c>
      <c r="BG199">
        <f t="shared" si="87"/>
        <v>0</v>
      </c>
      <c r="BH199">
        <f t="shared" si="88"/>
        <v>0</v>
      </c>
      <c r="BI199">
        <f t="shared" si="89"/>
        <v>0</v>
      </c>
      <c r="BJ199">
        <f t="shared" si="90"/>
        <v>0</v>
      </c>
      <c r="BK199">
        <f t="shared" si="91"/>
        <v>0</v>
      </c>
      <c r="BL199">
        <f t="shared" si="92"/>
        <v>0</v>
      </c>
      <c r="BM199">
        <f t="shared" si="93"/>
        <v>0</v>
      </c>
      <c r="BN199">
        <f t="shared" si="94"/>
        <v>0</v>
      </c>
      <c r="BO199">
        <f t="shared" si="95"/>
        <v>0</v>
      </c>
      <c r="BP199">
        <f t="shared" si="96"/>
        <v>0</v>
      </c>
      <c r="BQ199">
        <f t="shared" si="97"/>
        <v>0</v>
      </c>
      <c r="BR199">
        <f t="shared" si="98"/>
        <v>0</v>
      </c>
      <c r="BS199">
        <f t="shared" si="99"/>
        <v>0</v>
      </c>
      <c r="BT199">
        <f t="shared" si="100"/>
        <v>0</v>
      </c>
      <c r="BU199" t="e">
        <f t="shared" si="70"/>
        <v>#DIV/0!</v>
      </c>
      <c r="BV199" t="e">
        <f t="shared" si="71"/>
        <v>#DIV/0!</v>
      </c>
      <c r="BX199" t="e">
        <f t="shared" si="72"/>
        <v>#DIV/0!</v>
      </c>
      <c r="BZ199" t="s">
        <v>173</v>
      </c>
      <c r="CA199" t="s">
        <v>173</v>
      </c>
      <c r="CB199" t="s">
        <v>173</v>
      </c>
      <c r="CC199" t="s">
        <v>173</v>
      </c>
      <c r="CD199" t="s">
        <v>173</v>
      </c>
      <c r="CE199" t="s">
        <v>173</v>
      </c>
      <c r="CF199">
        <v>0</v>
      </c>
      <c r="CG199">
        <v>0</v>
      </c>
      <c r="CH199" t="s">
        <v>173</v>
      </c>
      <c r="CI199">
        <v>0</v>
      </c>
      <c r="CJ199">
        <v>0</v>
      </c>
      <c r="CK199">
        <v>7.1999999999999998E-3</v>
      </c>
      <c r="CL199">
        <v>0</v>
      </c>
      <c r="CM199">
        <v>0</v>
      </c>
      <c r="CN199">
        <v>0</v>
      </c>
      <c r="CO199" t="s">
        <v>173</v>
      </c>
      <c r="CP199" t="s">
        <v>173</v>
      </c>
      <c r="CQ199" t="s">
        <v>173</v>
      </c>
      <c r="CR199" t="s">
        <v>173</v>
      </c>
      <c r="CS199" t="s">
        <v>173</v>
      </c>
      <c r="CT199" t="s">
        <v>173</v>
      </c>
      <c r="CU199">
        <v>7.4000000000000003E-3</v>
      </c>
      <c r="CV199">
        <v>8.0000000000000004E-4</v>
      </c>
      <c r="CW199">
        <v>2.18E-2</v>
      </c>
      <c r="CX199">
        <v>0.36809999999999998</v>
      </c>
      <c r="CY199">
        <v>0.5645</v>
      </c>
      <c r="CZ199" t="s">
        <v>173</v>
      </c>
      <c r="DA199" t="s">
        <v>173</v>
      </c>
      <c r="DB199" t="s">
        <v>173</v>
      </c>
      <c r="DC199" s="24">
        <f t="shared" si="101"/>
        <v>0</v>
      </c>
      <c r="DD199" s="24">
        <f t="shared" si="102"/>
        <v>0</v>
      </c>
      <c r="DE199" s="24">
        <f t="shared" si="104"/>
        <v>7.1999999999999998E-3</v>
      </c>
      <c r="DG199" s="5" t="e">
        <f t="shared" si="103"/>
        <v>#DIV/0!</v>
      </c>
    </row>
    <row r="200" spans="2:111">
      <c r="B200" s="63" t="s">
        <v>305</v>
      </c>
      <c r="C200" s="63" t="s">
        <v>309</v>
      </c>
      <c r="D200" s="63" t="s">
        <v>123</v>
      </c>
      <c r="E200" s="63"/>
      <c r="F200" s="63"/>
      <c r="G200" s="63">
        <v>37</v>
      </c>
      <c r="H200" s="63">
        <v>1.62</v>
      </c>
      <c r="I200" s="63">
        <v>6.04</v>
      </c>
      <c r="J200" s="63"/>
      <c r="K200" s="63">
        <v>20.64</v>
      </c>
      <c r="L200" s="63"/>
      <c r="M200" s="63">
        <v>0.12</v>
      </c>
      <c r="N200" s="63">
        <v>0.43</v>
      </c>
      <c r="O200" s="63">
        <v>33.340000000000003</v>
      </c>
      <c r="Q200" s="63" t="s">
        <v>308</v>
      </c>
      <c r="S200" s="63"/>
      <c r="T200" s="63"/>
      <c r="X200" s="63" t="s">
        <v>308</v>
      </c>
      <c r="BG200">
        <f t="shared" si="87"/>
        <v>0</v>
      </c>
      <c r="BH200">
        <f t="shared" si="88"/>
        <v>0</v>
      </c>
      <c r="BI200">
        <f t="shared" si="89"/>
        <v>0</v>
      </c>
      <c r="BJ200">
        <f t="shared" si="90"/>
        <v>0</v>
      </c>
      <c r="BK200">
        <f t="shared" si="91"/>
        <v>0</v>
      </c>
      <c r="BL200">
        <f t="shared" si="92"/>
        <v>0</v>
      </c>
      <c r="BM200">
        <f t="shared" si="93"/>
        <v>0</v>
      </c>
      <c r="BN200">
        <f t="shared" si="94"/>
        <v>0</v>
      </c>
      <c r="BO200">
        <f t="shared" si="95"/>
        <v>0</v>
      </c>
      <c r="BP200">
        <f t="shared" si="96"/>
        <v>0</v>
      </c>
      <c r="BQ200">
        <f t="shared" si="97"/>
        <v>0</v>
      </c>
      <c r="BR200">
        <f t="shared" si="98"/>
        <v>0</v>
      </c>
      <c r="BS200">
        <f t="shared" si="99"/>
        <v>0</v>
      </c>
      <c r="BT200">
        <f t="shared" si="100"/>
        <v>0</v>
      </c>
      <c r="BU200" t="e">
        <f t="shared" si="70"/>
        <v>#DIV/0!</v>
      </c>
      <c r="BV200" t="e">
        <f t="shared" si="71"/>
        <v>#DIV/0!</v>
      </c>
      <c r="BX200" t="e">
        <f t="shared" si="72"/>
        <v>#DIV/0!</v>
      </c>
      <c r="BZ200" t="s">
        <v>173</v>
      </c>
      <c r="CA200" t="s">
        <v>173</v>
      </c>
      <c r="CB200" t="s">
        <v>173</v>
      </c>
      <c r="CC200" t="s">
        <v>173</v>
      </c>
      <c r="CD200" t="s">
        <v>173</v>
      </c>
      <c r="CE200" t="s">
        <v>173</v>
      </c>
      <c r="CF200">
        <v>0</v>
      </c>
      <c r="CG200">
        <v>0</v>
      </c>
      <c r="CH200" t="s">
        <v>173</v>
      </c>
      <c r="CI200">
        <v>0</v>
      </c>
      <c r="CJ200">
        <v>3.0000000000000001E-3</v>
      </c>
      <c r="CK200">
        <v>9.2600000000000002E-2</v>
      </c>
      <c r="CL200">
        <v>0</v>
      </c>
      <c r="CM200">
        <v>0</v>
      </c>
      <c r="CN200">
        <v>0</v>
      </c>
      <c r="CO200" t="s">
        <v>173</v>
      </c>
      <c r="CP200" t="s">
        <v>173</v>
      </c>
      <c r="CQ200" t="s">
        <v>173</v>
      </c>
      <c r="CR200" t="s">
        <v>173</v>
      </c>
      <c r="CS200" t="s">
        <v>173</v>
      </c>
      <c r="CT200" t="s">
        <v>173</v>
      </c>
      <c r="CU200">
        <v>9.7999999999999997E-3</v>
      </c>
      <c r="CV200">
        <v>4.7999999999999996E-3</v>
      </c>
      <c r="CW200">
        <v>2.18E-2</v>
      </c>
      <c r="CX200">
        <v>0.24859999999999999</v>
      </c>
      <c r="CY200">
        <v>0.61939999999999995</v>
      </c>
      <c r="CZ200" t="s">
        <v>173</v>
      </c>
      <c r="DA200" t="s">
        <v>173</v>
      </c>
      <c r="DB200" t="s">
        <v>173</v>
      </c>
      <c r="DC200" s="24">
        <f t="shared" si="101"/>
        <v>3.0000000000000001E-3</v>
      </c>
      <c r="DD200" s="24">
        <f t="shared" si="102"/>
        <v>0</v>
      </c>
      <c r="DE200" s="24">
        <f t="shared" si="104"/>
        <v>9.2600000000000002E-2</v>
      </c>
      <c r="DG200" s="5" t="e">
        <f t="shared" si="103"/>
        <v>#DIV/0!</v>
      </c>
    </row>
    <row r="201" spans="2:111">
      <c r="B201" s="63" t="s">
        <v>305</v>
      </c>
      <c r="C201" s="63" t="s">
        <v>310</v>
      </c>
      <c r="D201" s="63"/>
      <c r="E201" s="63"/>
      <c r="F201" s="63"/>
      <c r="G201" s="63">
        <v>37.020000000000003</v>
      </c>
      <c r="H201" s="63">
        <v>0.04</v>
      </c>
      <c r="I201" s="63">
        <v>4.6399999999999997</v>
      </c>
      <c r="J201" s="63"/>
      <c r="K201" s="63">
        <v>23.26</v>
      </c>
      <c r="L201" s="63"/>
      <c r="M201" s="63">
        <v>0.03</v>
      </c>
      <c r="N201" s="63">
        <v>0.49</v>
      </c>
      <c r="O201" s="63">
        <v>32.909999999999997</v>
      </c>
      <c r="Q201" s="63">
        <v>0.01</v>
      </c>
      <c r="S201" s="63"/>
      <c r="T201" s="63"/>
      <c r="X201" s="63">
        <v>0.11</v>
      </c>
      <c r="BG201">
        <f t="shared" si="87"/>
        <v>0</v>
      </c>
      <c r="BH201">
        <f t="shared" si="88"/>
        <v>0</v>
      </c>
      <c r="BI201">
        <f t="shared" si="89"/>
        <v>0</v>
      </c>
      <c r="BJ201">
        <f t="shared" si="90"/>
        <v>0</v>
      </c>
      <c r="BK201">
        <f t="shared" si="91"/>
        <v>0</v>
      </c>
      <c r="BL201">
        <f t="shared" si="92"/>
        <v>0</v>
      </c>
      <c r="BM201">
        <f t="shared" si="93"/>
        <v>0</v>
      </c>
      <c r="BN201">
        <f t="shared" si="94"/>
        <v>0</v>
      </c>
      <c r="BO201">
        <f t="shared" si="95"/>
        <v>0</v>
      </c>
      <c r="BP201">
        <f t="shared" si="96"/>
        <v>0</v>
      </c>
      <c r="BQ201">
        <f t="shared" si="97"/>
        <v>0</v>
      </c>
      <c r="BR201">
        <f t="shared" si="98"/>
        <v>0</v>
      </c>
      <c r="BS201">
        <f t="shared" si="99"/>
        <v>0</v>
      </c>
      <c r="BT201">
        <f t="shared" si="100"/>
        <v>0</v>
      </c>
      <c r="BU201" t="e">
        <f t="shared" si="70"/>
        <v>#DIV/0!</v>
      </c>
      <c r="BV201" t="e">
        <f t="shared" si="71"/>
        <v>#DIV/0!</v>
      </c>
      <c r="BX201" t="e">
        <f t="shared" si="72"/>
        <v>#DIV/0!</v>
      </c>
      <c r="BZ201" t="s">
        <v>173</v>
      </c>
      <c r="CA201" t="s">
        <v>173</v>
      </c>
      <c r="CB201" t="s">
        <v>173</v>
      </c>
      <c r="CC201" t="s">
        <v>173</v>
      </c>
      <c r="CD201" t="s">
        <v>173</v>
      </c>
      <c r="CE201" t="s">
        <v>173</v>
      </c>
      <c r="CF201">
        <v>0</v>
      </c>
      <c r="CG201">
        <v>0</v>
      </c>
      <c r="CH201" t="s">
        <v>173</v>
      </c>
      <c r="CI201">
        <v>0</v>
      </c>
      <c r="CJ201">
        <v>0</v>
      </c>
      <c r="CK201">
        <v>2.5000000000000001E-3</v>
      </c>
      <c r="CL201">
        <v>0</v>
      </c>
      <c r="CM201">
        <v>0</v>
      </c>
      <c r="CN201">
        <v>0</v>
      </c>
      <c r="CO201" t="s">
        <v>173</v>
      </c>
      <c r="CP201" t="s">
        <v>173</v>
      </c>
      <c r="CQ201" t="s">
        <v>173</v>
      </c>
      <c r="CR201" t="s">
        <v>173</v>
      </c>
      <c r="CS201" t="s">
        <v>173</v>
      </c>
      <c r="CT201" t="s">
        <v>173</v>
      </c>
      <c r="CU201">
        <v>1.1299999999999999E-2</v>
      </c>
      <c r="CV201">
        <v>1.1999999999999999E-3</v>
      </c>
      <c r="CW201">
        <v>2.4899999999999999E-2</v>
      </c>
      <c r="CX201">
        <v>0.18640000000000001</v>
      </c>
      <c r="CY201">
        <v>0.74209999999999998</v>
      </c>
      <c r="CZ201" t="s">
        <v>173</v>
      </c>
      <c r="DA201" t="s">
        <v>173</v>
      </c>
      <c r="DB201" t="s">
        <v>173</v>
      </c>
      <c r="DC201" s="24">
        <f t="shared" si="101"/>
        <v>0</v>
      </c>
      <c r="DD201" s="24">
        <f t="shared" si="102"/>
        <v>0</v>
      </c>
      <c r="DE201" s="24">
        <f t="shared" si="104"/>
        <v>2.5000000000000001E-3</v>
      </c>
      <c r="DG201" s="5" t="e">
        <f t="shared" si="103"/>
        <v>#DIV/0!</v>
      </c>
    </row>
    <row r="202" spans="2:111">
      <c r="B202" s="63" t="s">
        <v>305</v>
      </c>
      <c r="C202" s="63" t="s">
        <v>311</v>
      </c>
      <c r="D202" s="63"/>
      <c r="E202" s="63"/>
      <c r="F202" s="63"/>
      <c r="G202" s="63">
        <v>35.950000000000003</v>
      </c>
      <c r="H202" s="63">
        <v>2.6</v>
      </c>
      <c r="I202" s="63">
        <v>6.52</v>
      </c>
      <c r="J202" s="63"/>
      <c r="K202" s="63">
        <v>19</v>
      </c>
      <c r="L202" s="63"/>
      <c r="M202" s="63">
        <v>0.15</v>
      </c>
      <c r="N202" s="63">
        <v>0.61</v>
      </c>
      <c r="O202" s="63">
        <v>33.22</v>
      </c>
      <c r="Q202" s="63">
        <v>0.03</v>
      </c>
      <c r="S202" s="63"/>
      <c r="T202" s="63"/>
      <c r="X202" s="63">
        <v>0.04</v>
      </c>
      <c r="BG202">
        <f t="shared" si="87"/>
        <v>0</v>
      </c>
      <c r="BH202">
        <f t="shared" si="88"/>
        <v>0</v>
      </c>
      <c r="BI202">
        <f t="shared" si="89"/>
        <v>0</v>
      </c>
      <c r="BJ202">
        <f t="shared" si="90"/>
        <v>0</v>
      </c>
      <c r="BK202">
        <f t="shared" si="91"/>
        <v>0</v>
      </c>
      <c r="BL202">
        <f t="shared" si="92"/>
        <v>0</v>
      </c>
      <c r="BM202">
        <f t="shared" si="93"/>
        <v>0</v>
      </c>
      <c r="BN202">
        <f t="shared" si="94"/>
        <v>0</v>
      </c>
      <c r="BO202">
        <f t="shared" si="95"/>
        <v>0</v>
      </c>
      <c r="BP202">
        <f t="shared" si="96"/>
        <v>0</v>
      </c>
      <c r="BQ202">
        <f t="shared" si="97"/>
        <v>0</v>
      </c>
      <c r="BR202">
        <f t="shared" si="98"/>
        <v>0</v>
      </c>
      <c r="BS202">
        <f t="shared" si="99"/>
        <v>0</v>
      </c>
      <c r="BT202">
        <f t="shared" si="100"/>
        <v>0</v>
      </c>
      <c r="BU202" t="e">
        <f t="shared" si="70"/>
        <v>#DIV/0!</v>
      </c>
      <c r="BV202" t="e">
        <f t="shared" si="71"/>
        <v>#DIV/0!</v>
      </c>
      <c r="BX202" t="e">
        <f t="shared" si="72"/>
        <v>#DIV/0!</v>
      </c>
      <c r="BZ202" t="s">
        <v>173</v>
      </c>
      <c r="CA202" t="s">
        <v>173</v>
      </c>
      <c r="CB202" t="s">
        <v>173</v>
      </c>
      <c r="CC202" t="s">
        <v>173</v>
      </c>
      <c r="CD202" t="s">
        <v>173</v>
      </c>
      <c r="CE202" t="s">
        <v>173</v>
      </c>
      <c r="CF202">
        <v>0</v>
      </c>
      <c r="CG202">
        <v>0</v>
      </c>
      <c r="CH202" t="s">
        <v>173</v>
      </c>
      <c r="CI202">
        <v>0</v>
      </c>
      <c r="CJ202">
        <v>2.9899999999999999E-2</v>
      </c>
      <c r="CK202">
        <v>0.1002</v>
      </c>
      <c r="CL202">
        <v>0</v>
      </c>
      <c r="CM202">
        <v>0</v>
      </c>
      <c r="CN202">
        <v>0</v>
      </c>
      <c r="CO202" t="s">
        <v>173</v>
      </c>
      <c r="CP202" t="s">
        <v>173</v>
      </c>
      <c r="CQ202" t="s">
        <v>173</v>
      </c>
      <c r="CR202" t="s">
        <v>173</v>
      </c>
      <c r="CS202" t="s">
        <v>173</v>
      </c>
      <c r="CT202" t="s">
        <v>173</v>
      </c>
      <c r="CU202">
        <v>1.41E-2</v>
      </c>
      <c r="CV202">
        <v>6.1000000000000004E-3</v>
      </c>
      <c r="CW202">
        <v>9.4000000000000004E-3</v>
      </c>
      <c r="CX202">
        <v>0.25469999999999998</v>
      </c>
      <c r="CY202">
        <v>0.58550000000000002</v>
      </c>
      <c r="CZ202" t="s">
        <v>173</v>
      </c>
      <c r="DA202" t="s">
        <v>173</v>
      </c>
      <c r="DB202" t="s">
        <v>173</v>
      </c>
      <c r="DC202" s="24">
        <f t="shared" si="101"/>
        <v>2.9899999999999999E-2</v>
      </c>
      <c r="DD202" s="24">
        <f t="shared" si="102"/>
        <v>0</v>
      </c>
      <c r="DE202" s="24">
        <f t="shared" si="104"/>
        <v>0.1002</v>
      </c>
      <c r="DG202" s="5" t="e">
        <f t="shared" si="103"/>
        <v>#DIV/0!</v>
      </c>
    </row>
    <row r="203" spans="2:111">
      <c r="B203" s="63" t="s">
        <v>305</v>
      </c>
      <c r="C203" s="63" t="s">
        <v>312</v>
      </c>
      <c r="D203" s="63"/>
      <c r="E203" s="63"/>
      <c r="F203" s="63"/>
      <c r="G203" s="63">
        <v>36.72</v>
      </c>
      <c r="H203" s="63">
        <v>2.33</v>
      </c>
      <c r="I203" s="63">
        <v>6.88</v>
      </c>
      <c r="J203" s="63"/>
      <c r="K203" s="63">
        <v>18.899999999999999</v>
      </c>
      <c r="L203" s="63"/>
      <c r="M203" s="63">
        <v>0.14000000000000001</v>
      </c>
      <c r="N203" s="63">
        <v>0.63</v>
      </c>
      <c r="O203" s="63">
        <v>32.29</v>
      </c>
      <c r="Q203" s="63">
        <v>0.02</v>
      </c>
      <c r="S203" s="63"/>
      <c r="T203" s="63"/>
      <c r="X203" s="63">
        <v>0.02</v>
      </c>
      <c r="BG203">
        <f t="shared" si="87"/>
        <v>0</v>
      </c>
      <c r="BH203">
        <f t="shared" si="88"/>
        <v>0</v>
      </c>
      <c r="BI203">
        <f t="shared" si="89"/>
        <v>0</v>
      </c>
      <c r="BJ203">
        <f t="shared" si="90"/>
        <v>0</v>
      </c>
      <c r="BK203">
        <f t="shared" si="91"/>
        <v>0</v>
      </c>
      <c r="BL203">
        <f t="shared" si="92"/>
        <v>0</v>
      </c>
      <c r="BM203">
        <f t="shared" si="93"/>
        <v>0</v>
      </c>
      <c r="BN203">
        <f t="shared" si="94"/>
        <v>0</v>
      </c>
      <c r="BO203">
        <f t="shared" si="95"/>
        <v>0</v>
      </c>
      <c r="BP203">
        <f t="shared" si="96"/>
        <v>0</v>
      </c>
      <c r="BQ203">
        <f t="shared" si="97"/>
        <v>0</v>
      </c>
      <c r="BR203">
        <f t="shared" si="98"/>
        <v>0</v>
      </c>
      <c r="BS203">
        <f t="shared" si="99"/>
        <v>0</v>
      </c>
      <c r="BT203">
        <f t="shared" si="100"/>
        <v>0</v>
      </c>
      <c r="BU203" t="e">
        <f t="shared" si="70"/>
        <v>#DIV/0!</v>
      </c>
      <c r="BV203" t="e">
        <f t="shared" si="71"/>
        <v>#DIV/0!</v>
      </c>
      <c r="BX203" t="e">
        <f t="shared" si="72"/>
        <v>#DIV/0!</v>
      </c>
      <c r="BZ203" t="s">
        <v>173</v>
      </c>
      <c r="CA203" t="s">
        <v>173</v>
      </c>
      <c r="CB203" t="s">
        <v>173</v>
      </c>
      <c r="CC203" t="s">
        <v>173</v>
      </c>
      <c r="CD203" t="s">
        <v>173</v>
      </c>
      <c r="CE203" t="s">
        <v>173</v>
      </c>
      <c r="CF203">
        <v>0</v>
      </c>
      <c r="CG203">
        <v>0</v>
      </c>
      <c r="CH203" t="s">
        <v>173</v>
      </c>
      <c r="CI203">
        <v>0</v>
      </c>
      <c r="CJ203">
        <v>0</v>
      </c>
      <c r="CK203">
        <v>0.14349999999999999</v>
      </c>
      <c r="CL203">
        <v>0</v>
      </c>
      <c r="CM203">
        <v>0</v>
      </c>
      <c r="CN203">
        <v>0</v>
      </c>
      <c r="CO203">
        <v>3.7000000000000002E-3</v>
      </c>
      <c r="CP203" t="s">
        <v>173</v>
      </c>
      <c r="CQ203" t="s">
        <v>173</v>
      </c>
      <c r="CR203" t="s">
        <v>173</v>
      </c>
      <c r="CS203" t="s">
        <v>173</v>
      </c>
      <c r="CT203" t="s">
        <v>173</v>
      </c>
      <c r="CU203">
        <v>1.46E-2</v>
      </c>
      <c r="CV203">
        <v>0</v>
      </c>
      <c r="CW203">
        <v>3.7699999999999997E-2</v>
      </c>
      <c r="CX203">
        <v>0.2797</v>
      </c>
      <c r="CY203">
        <v>0.51870000000000005</v>
      </c>
      <c r="CZ203" t="s">
        <v>173</v>
      </c>
      <c r="DA203" t="s">
        <v>173</v>
      </c>
      <c r="DB203" t="s">
        <v>173</v>
      </c>
      <c r="DC203" s="24">
        <f t="shared" si="101"/>
        <v>0</v>
      </c>
      <c r="DD203" s="24">
        <f t="shared" si="102"/>
        <v>0</v>
      </c>
      <c r="DE203" s="24">
        <f t="shared" si="104"/>
        <v>0.14349999999999999</v>
      </c>
      <c r="DG203" s="5" t="e">
        <f t="shared" si="103"/>
        <v>#DIV/0!</v>
      </c>
    </row>
    <row r="204" spans="2:111">
      <c r="B204" s="63" t="s">
        <v>305</v>
      </c>
      <c r="C204" s="63" t="s">
        <v>312</v>
      </c>
      <c r="D204" s="63" t="s">
        <v>122</v>
      </c>
      <c r="E204" s="63" t="s">
        <v>316</v>
      </c>
      <c r="F204" s="63"/>
      <c r="G204" s="63">
        <v>37.729999999999997</v>
      </c>
      <c r="H204" s="63">
        <v>0.27</v>
      </c>
      <c r="I204" s="63">
        <v>9.57</v>
      </c>
      <c r="J204" s="63"/>
      <c r="K204" s="63">
        <v>17.32</v>
      </c>
      <c r="L204" s="63"/>
      <c r="M204" s="63">
        <v>0.09</v>
      </c>
      <c r="N204" s="63">
        <v>0.42</v>
      </c>
      <c r="O204" s="63">
        <v>34.32</v>
      </c>
      <c r="Q204" s="63">
        <v>0.02</v>
      </c>
      <c r="S204" s="63"/>
      <c r="T204" s="63"/>
      <c r="X204" s="63">
        <v>0.03</v>
      </c>
      <c r="BG204">
        <f t="shared" si="87"/>
        <v>0</v>
      </c>
      <c r="BH204">
        <f t="shared" si="88"/>
        <v>0</v>
      </c>
      <c r="BI204">
        <f t="shared" si="89"/>
        <v>0</v>
      </c>
      <c r="BJ204">
        <f t="shared" si="90"/>
        <v>0</v>
      </c>
      <c r="BK204">
        <f t="shared" si="91"/>
        <v>0</v>
      </c>
      <c r="BL204">
        <f t="shared" si="92"/>
        <v>0</v>
      </c>
      <c r="BM204">
        <f t="shared" si="93"/>
        <v>0</v>
      </c>
      <c r="BN204">
        <f t="shared" si="94"/>
        <v>0</v>
      </c>
      <c r="BO204">
        <f t="shared" si="95"/>
        <v>0</v>
      </c>
      <c r="BP204">
        <f t="shared" si="96"/>
        <v>0</v>
      </c>
      <c r="BQ204">
        <f t="shared" si="97"/>
        <v>0</v>
      </c>
      <c r="BR204">
        <f t="shared" si="98"/>
        <v>0</v>
      </c>
      <c r="BS204">
        <f t="shared" si="99"/>
        <v>0</v>
      </c>
      <c r="BT204">
        <f t="shared" si="100"/>
        <v>0</v>
      </c>
      <c r="BU204" t="e">
        <f t="shared" si="70"/>
        <v>#DIV/0!</v>
      </c>
      <c r="BV204" t="e">
        <f t="shared" si="71"/>
        <v>#DIV/0!</v>
      </c>
      <c r="BX204" t="e">
        <f t="shared" si="72"/>
        <v>#DIV/0!</v>
      </c>
      <c r="BZ204" t="s">
        <v>173</v>
      </c>
      <c r="CA204" t="s">
        <v>173</v>
      </c>
      <c r="CB204" t="s">
        <v>173</v>
      </c>
      <c r="CC204" t="s">
        <v>173</v>
      </c>
      <c r="CD204" t="s">
        <v>173</v>
      </c>
      <c r="CE204" t="s">
        <v>173</v>
      </c>
      <c r="CF204">
        <v>0</v>
      </c>
      <c r="CG204">
        <v>0</v>
      </c>
      <c r="CH204" t="s">
        <v>173</v>
      </c>
      <c r="CI204">
        <v>0</v>
      </c>
      <c r="CJ204">
        <v>5.1000000000000004E-3</v>
      </c>
      <c r="CK204">
        <v>5.7999999999999996E-3</v>
      </c>
      <c r="CL204">
        <v>0</v>
      </c>
      <c r="CM204">
        <v>0</v>
      </c>
      <c r="CN204">
        <v>0</v>
      </c>
      <c r="CO204" t="s">
        <v>173</v>
      </c>
      <c r="CP204" t="s">
        <v>173</v>
      </c>
      <c r="CQ204" t="s">
        <v>173</v>
      </c>
      <c r="CR204" t="s">
        <v>173</v>
      </c>
      <c r="CS204" t="s">
        <v>173</v>
      </c>
      <c r="CT204" t="s">
        <v>173</v>
      </c>
      <c r="CU204">
        <v>9.4000000000000004E-3</v>
      </c>
      <c r="CV204">
        <v>3.5000000000000001E-3</v>
      </c>
      <c r="CW204">
        <v>1.5800000000000002E-2</v>
      </c>
      <c r="CX204">
        <v>0.41299999999999998</v>
      </c>
      <c r="CY204">
        <v>0.54730000000000001</v>
      </c>
      <c r="CZ204" t="s">
        <v>173</v>
      </c>
      <c r="DA204" t="s">
        <v>173</v>
      </c>
      <c r="DB204" t="s">
        <v>173</v>
      </c>
      <c r="DC204" s="24">
        <f t="shared" si="101"/>
        <v>5.1000000000000004E-3</v>
      </c>
      <c r="DD204" s="24">
        <f t="shared" si="102"/>
        <v>0</v>
      </c>
      <c r="DE204" s="24">
        <f t="shared" si="104"/>
        <v>5.7999999999999996E-3</v>
      </c>
      <c r="DG204" s="5" t="e">
        <f t="shared" si="103"/>
        <v>#DIV/0!</v>
      </c>
    </row>
    <row r="205" spans="2:111">
      <c r="B205" s="63" t="s">
        <v>305</v>
      </c>
      <c r="C205" s="63" t="s">
        <v>311</v>
      </c>
      <c r="D205" s="63"/>
      <c r="E205" s="63"/>
      <c r="F205" s="63"/>
      <c r="G205" s="63">
        <v>37.909999999999997</v>
      </c>
      <c r="H205" s="63">
        <v>0.42</v>
      </c>
      <c r="I205" s="63">
        <v>9.06</v>
      </c>
      <c r="J205" s="63"/>
      <c r="K205" s="63">
        <v>17.64</v>
      </c>
      <c r="L205" s="63"/>
      <c r="M205" s="63">
        <v>0.08</v>
      </c>
      <c r="N205" s="63">
        <v>0.41</v>
      </c>
      <c r="O205" s="63">
        <v>34.29</v>
      </c>
      <c r="Q205" s="63" t="s">
        <v>308</v>
      </c>
      <c r="S205" s="63"/>
      <c r="T205" s="63"/>
      <c r="X205" s="63" t="s">
        <v>308</v>
      </c>
      <c r="BG205">
        <f t="shared" si="87"/>
        <v>0</v>
      </c>
      <c r="BH205">
        <f t="shared" si="88"/>
        <v>0</v>
      </c>
      <c r="BI205">
        <f t="shared" si="89"/>
        <v>0</v>
      </c>
      <c r="BJ205">
        <f t="shared" si="90"/>
        <v>0</v>
      </c>
      <c r="BK205">
        <f t="shared" si="91"/>
        <v>0</v>
      </c>
      <c r="BL205">
        <f t="shared" si="92"/>
        <v>0</v>
      </c>
      <c r="BM205">
        <f t="shared" si="93"/>
        <v>0</v>
      </c>
      <c r="BN205">
        <f t="shared" si="94"/>
        <v>0</v>
      </c>
      <c r="BO205">
        <f t="shared" si="95"/>
        <v>0</v>
      </c>
      <c r="BP205">
        <f t="shared" si="96"/>
        <v>0</v>
      </c>
      <c r="BQ205">
        <f t="shared" si="97"/>
        <v>0</v>
      </c>
      <c r="BR205">
        <f t="shared" si="98"/>
        <v>0</v>
      </c>
      <c r="BS205">
        <f t="shared" si="99"/>
        <v>0</v>
      </c>
      <c r="BT205">
        <f t="shared" si="100"/>
        <v>0</v>
      </c>
      <c r="BU205" t="e">
        <f t="shared" si="70"/>
        <v>#DIV/0!</v>
      </c>
      <c r="BV205" t="e">
        <f t="shared" si="71"/>
        <v>#DIV/0!</v>
      </c>
      <c r="BX205" t="e">
        <f t="shared" si="72"/>
        <v>#DIV/0!</v>
      </c>
      <c r="BZ205" t="s">
        <v>173</v>
      </c>
      <c r="CA205" t="s">
        <v>173</v>
      </c>
      <c r="CB205" t="s">
        <v>173</v>
      </c>
      <c r="CC205" t="s">
        <v>173</v>
      </c>
      <c r="CD205" t="s">
        <v>173</v>
      </c>
      <c r="CE205" t="s">
        <v>173</v>
      </c>
      <c r="CF205">
        <v>0</v>
      </c>
      <c r="CG205">
        <v>0</v>
      </c>
      <c r="CH205" t="s">
        <v>173</v>
      </c>
      <c r="CI205">
        <v>0</v>
      </c>
      <c r="CJ205">
        <v>0</v>
      </c>
      <c r="CK205">
        <v>2.5100000000000001E-2</v>
      </c>
      <c r="CL205">
        <v>0</v>
      </c>
      <c r="CM205">
        <v>0</v>
      </c>
      <c r="CN205">
        <v>0</v>
      </c>
      <c r="CO205">
        <v>8.9999999999999998E-4</v>
      </c>
      <c r="CP205" t="s">
        <v>173</v>
      </c>
      <c r="CQ205" t="s">
        <v>173</v>
      </c>
      <c r="CR205" t="s">
        <v>173</v>
      </c>
      <c r="CS205" t="s">
        <v>173</v>
      </c>
      <c r="CT205" t="s">
        <v>173</v>
      </c>
      <c r="CU205">
        <v>9.1999999999999998E-3</v>
      </c>
      <c r="CV205">
        <v>0</v>
      </c>
      <c r="CW205">
        <v>1.8599999999999998E-2</v>
      </c>
      <c r="CX205">
        <v>0.3957</v>
      </c>
      <c r="CY205">
        <v>0.54459999999999997</v>
      </c>
      <c r="CZ205" t="s">
        <v>173</v>
      </c>
      <c r="DA205" t="s">
        <v>173</v>
      </c>
      <c r="DB205" t="s">
        <v>173</v>
      </c>
      <c r="DC205" s="24">
        <f t="shared" si="101"/>
        <v>0</v>
      </c>
      <c r="DD205" s="24">
        <f t="shared" si="102"/>
        <v>0</v>
      </c>
      <c r="DE205" s="24">
        <f t="shared" si="104"/>
        <v>2.5100000000000001E-2</v>
      </c>
      <c r="DG205" s="5" t="e">
        <f t="shared" si="103"/>
        <v>#DIV/0!</v>
      </c>
    </row>
    <row r="206" spans="2:111">
      <c r="B206" s="63" t="s">
        <v>305</v>
      </c>
      <c r="C206" s="63" t="s">
        <v>313</v>
      </c>
      <c r="D206" s="63"/>
      <c r="E206" s="63"/>
      <c r="F206" s="63"/>
      <c r="G206" s="63">
        <v>37.770000000000003</v>
      </c>
      <c r="H206" s="63">
        <v>0.25</v>
      </c>
      <c r="I206" s="63">
        <v>9.2100000000000009</v>
      </c>
      <c r="J206" s="63"/>
      <c r="K206" s="63">
        <v>18.09</v>
      </c>
      <c r="L206" s="63"/>
      <c r="M206" s="63">
        <v>0.08</v>
      </c>
      <c r="N206" s="63">
        <v>0.36</v>
      </c>
      <c r="O206" s="63">
        <v>33.979999999999997</v>
      </c>
      <c r="Q206" s="63">
        <v>0.02</v>
      </c>
      <c r="S206" s="63"/>
      <c r="T206" s="63"/>
      <c r="X206" s="63">
        <v>0.04</v>
      </c>
      <c r="BG206">
        <f t="shared" si="87"/>
        <v>0</v>
      </c>
      <c r="BH206">
        <f t="shared" si="88"/>
        <v>0</v>
      </c>
      <c r="BI206">
        <f t="shared" si="89"/>
        <v>0</v>
      </c>
      <c r="BJ206">
        <f t="shared" si="90"/>
        <v>0</v>
      </c>
      <c r="BK206">
        <f t="shared" si="91"/>
        <v>0</v>
      </c>
      <c r="BL206">
        <f t="shared" si="92"/>
        <v>0</v>
      </c>
      <c r="BM206">
        <f t="shared" si="93"/>
        <v>0</v>
      </c>
      <c r="BN206">
        <f t="shared" si="94"/>
        <v>0</v>
      </c>
      <c r="BO206">
        <f t="shared" si="95"/>
        <v>0</v>
      </c>
      <c r="BP206">
        <f t="shared" si="96"/>
        <v>0</v>
      </c>
      <c r="BQ206">
        <f t="shared" si="97"/>
        <v>0</v>
      </c>
      <c r="BR206">
        <f t="shared" si="98"/>
        <v>0</v>
      </c>
      <c r="BS206">
        <f t="shared" si="99"/>
        <v>0</v>
      </c>
      <c r="BT206">
        <f t="shared" si="100"/>
        <v>0</v>
      </c>
      <c r="BU206" t="e">
        <f t="shared" si="70"/>
        <v>#DIV/0!</v>
      </c>
      <c r="BV206" t="e">
        <f t="shared" si="71"/>
        <v>#DIV/0!</v>
      </c>
      <c r="BX206" t="e">
        <f t="shared" si="72"/>
        <v>#DIV/0!</v>
      </c>
      <c r="BZ206" t="s">
        <v>173</v>
      </c>
      <c r="CA206" t="s">
        <v>173</v>
      </c>
      <c r="CB206" t="s">
        <v>173</v>
      </c>
      <c r="CC206" t="s">
        <v>173</v>
      </c>
      <c r="CD206" t="s">
        <v>173</v>
      </c>
      <c r="CE206" t="s">
        <v>173</v>
      </c>
      <c r="CF206">
        <v>0</v>
      </c>
      <c r="CG206">
        <v>0</v>
      </c>
      <c r="CH206" t="s">
        <v>173</v>
      </c>
      <c r="CI206">
        <v>0</v>
      </c>
      <c r="CJ206">
        <v>8.0000000000000004E-4</v>
      </c>
      <c r="CK206">
        <v>1.3299999999999999E-2</v>
      </c>
      <c r="CL206">
        <v>0</v>
      </c>
      <c r="CM206">
        <v>0</v>
      </c>
      <c r="CN206">
        <v>0</v>
      </c>
      <c r="CO206" t="s">
        <v>173</v>
      </c>
      <c r="CP206" t="s">
        <v>173</v>
      </c>
      <c r="CQ206" t="s">
        <v>173</v>
      </c>
      <c r="CR206" t="s">
        <v>173</v>
      </c>
      <c r="CS206" t="s">
        <v>173</v>
      </c>
      <c r="CT206" t="s">
        <v>173</v>
      </c>
      <c r="CU206">
        <v>8.0999999999999996E-3</v>
      </c>
      <c r="CV206">
        <v>3.2000000000000002E-3</v>
      </c>
      <c r="CW206">
        <v>2.5399999999999999E-2</v>
      </c>
      <c r="CX206">
        <v>0.39350000000000002</v>
      </c>
      <c r="CY206">
        <v>0.55579999999999996</v>
      </c>
      <c r="CZ206" t="s">
        <v>173</v>
      </c>
      <c r="DA206" t="s">
        <v>173</v>
      </c>
      <c r="DB206" t="s">
        <v>173</v>
      </c>
      <c r="DC206" s="24">
        <f t="shared" si="101"/>
        <v>8.0000000000000004E-4</v>
      </c>
      <c r="DD206" s="24">
        <f t="shared" si="102"/>
        <v>0</v>
      </c>
      <c r="DE206" s="24">
        <f t="shared" si="104"/>
        <v>1.3299999999999999E-2</v>
      </c>
      <c r="DG206" s="5" t="e">
        <f t="shared" si="103"/>
        <v>#DIV/0!</v>
      </c>
    </row>
    <row r="207" spans="2:111">
      <c r="B207" s="63" t="s">
        <v>305</v>
      </c>
      <c r="C207" s="63" t="s">
        <v>310</v>
      </c>
      <c r="D207" s="63"/>
      <c r="E207" s="63"/>
      <c r="F207" s="63"/>
      <c r="G207" s="63">
        <v>37.71</v>
      </c>
      <c r="H207" s="63">
        <v>0.13</v>
      </c>
      <c r="I207" s="63">
        <v>8.58</v>
      </c>
      <c r="J207" s="63"/>
      <c r="K207" s="63">
        <v>18.68</v>
      </c>
      <c r="L207" s="63"/>
      <c r="M207" s="63">
        <v>0.08</v>
      </c>
      <c r="N207" s="63">
        <v>0.44</v>
      </c>
      <c r="O207" s="63">
        <v>33.520000000000003</v>
      </c>
      <c r="Q207" s="63">
        <v>0</v>
      </c>
      <c r="S207" s="63"/>
      <c r="T207" s="63"/>
      <c r="X207" s="63" t="s">
        <v>308</v>
      </c>
      <c r="BG207">
        <f t="shared" si="87"/>
        <v>0</v>
      </c>
      <c r="BH207">
        <f t="shared" si="88"/>
        <v>0</v>
      </c>
      <c r="BI207">
        <f t="shared" si="89"/>
        <v>0</v>
      </c>
      <c r="BJ207">
        <f t="shared" si="90"/>
        <v>0</v>
      </c>
      <c r="BK207">
        <f t="shared" si="91"/>
        <v>0</v>
      </c>
      <c r="BL207">
        <f t="shared" si="92"/>
        <v>0</v>
      </c>
      <c r="BM207">
        <f t="shared" si="93"/>
        <v>0</v>
      </c>
      <c r="BN207">
        <f t="shared" si="94"/>
        <v>0</v>
      </c>
      <c r="BO207">
        <f t="shared" si="95"/>
        <v>0</v>
      </c>
      <c r="BP207">
        <f t="shared" si="96"/>
        <v>0</v>
      </c>
      <c r="BQ207">
        <f t="shared" si="97"/>
        <v>0</v>
      </c>
      <c r="BR207">
        <f t="shared" si="98"/>
        <v>0</v>
      </c>
      <c r="BS207">
        <f t="shared" si="99"/>
        <v>0</v>
      </c>
      <c r="BT207">
        <f t="shared" si="100"/>
        <v>0</v>
      </c>
      <c r="BU207" t="e">
        <f t="shared" si="70"/>
        <v>#DIV/0!</v>
      </c>
      <c r="BV207" t="e">
        <f t="shared" si="71"/>
        <v>#DIV/0!</v>
      </c>
      <c r="BX207" t="e">
        <f t="shared" si="72"/>
        <v>#DIV/0!</v>
      </c>
      <c r="BZ207" t="s">
        <v>173</v>
      </c>
      <c r="CA207" t="s">
        <v>173</v>
      </c>
      <c r="CB207" t="s">
        <v>173</v>
      </c>
      <c r="CC207">
        <v>3.3300000000000003E-2</v>
      </c>
      <c r="CD207" t="s">
        <v>173</v>
      </c>
      <c r="CE207" t="s">
        <v>173</v>
      </c>
      <c r="CF207">
        <v>0</v>
      </c>
      <c r="CG207">
        <v>0</v>
      </c>
      <c r="CH207" t="s">
        <v>173</v>
      </c>
      <c r="CI207">
        <v>0</v>
      </c>
      <c r="CJ207">
        <v>0</v>
      </c>
      <c r="CK207">
        <v>7.7000000000000002E-3</v>
      </c>
      <c r="CL207">
        <v>0</v>
      </c>
      <c r="CM207">
        <v>0</v>
      </c>
      <c r="CN207">
        <v>0</v>
      </c>
      <c r="CO207" t="s">
        <v>173</v>
      </c>
      <c r="CP207" t="s">
        <v>173</v>
      </c>
      <c r="CQ207" t="s">
        <v>173</v>
      </c>
      <c r="CR207" t="s">
        <v>173</v>
      </c>
      <c r="CS207" t="s">
        <v>173</v>
      </c>
      <c r="CT207" t="s">
        <v>173</v>
      </c>
      <c r="CU207">
        <v>9.7999999999999997E-3</v>
      </c>
      <c r="CV207">
        <v>3.0999999999999999E-3</v>
      </c>
      <c r="CW207">
        <v>1.3899999999999999E-2</v>
      </c>
      <c r="CX207">
        <v>0.33939999999999998</v>
      </c>
      <c r="CY207">
        <v>0.51200000000000001</v>
      </c>
      <c r="CZ207" t="s">
        <v>173</v>
      </c>
      <c r="DA207" t="s">
        <v>173</v>
      </c>
      <c r="DB207" t="s">
        <v>173</v>
      </c>
      <c r="DC207" s="24">
        <f t="shared" si="101"/>
        <v>0</v>
      </c>
      <c r="DD207" s="24">
        <f t="shared" si="102"/>
        <v>0</v>
      </c>
      <c r="DE207" s="24">
        <f t="shared" si="104"/>
        <v>7.7000000000000002E-3</v>
      </c>
      <c r="DG207" s="5" t="e">
        <f t="shared" si="103"/>
        <v>#DIV/0!</v>
      </c>
    </row>
    <row r="208" spans="2:111">
      <c r="B208" s="63" t="s">
        <v>305</v>
      </c>
      <c r="C208" s="63"/>
      <c r="D208" s="63"/>
      <c r="E208" s="63"/>
      <c r="F208" s="63"/>
      <c r="G208" s="63" t="s">
        <v>2</v>
      </c>
      <c r="H208" s="63" t="s">
        <v>3</v>
      </c>
      <c r="I208" s="63" t="s">
        <v>4</v>
      </c>
      <c r="J208" s="63"/>
      <c r="K208" s="63" t="s">
        <v>303</v>
      </c>
      <c r="L208" s="63"/>
      <c r="M208" s="63" t="s">
        <v>6</v>
      </c>
      <c r="N208" s="63" t="s">
        <v>7</v>
      </c>
      <c r="O208" s="63" t="s">
        <v>8</v>
      </c>
      <c r="Q208" s="63" t="s">
        <v>10</v>
      </c>
      <c r="S208" s="63"/>
      <c r="T208" s="63"/>
      <c r="X208" s="63" t="s">
        <v>304</v>
      </c>
      <c r="BG208">
        <f t="shared" si="87"/>
        <v>0</v>
      </c>
      <c r="BH208">
        <f t="shared" si="88"/>
        <v>0</v>
      </c>
      <c r="BI208">
        <f t="shared" si="89"/>
        <v>0</v>
      </c>
      <c r="BJ208">
        <f t="shared" si="90"/>
        <v>0</v>
      </c>
      <c r="BK208">
        <f t="shared" si="91"/>
        <v>0</v>
      </c>
      <c r="BL208">
        <f t="shared" si="92"/>
        <v>0</v>
      </c>
      <c r="BM208">
        <f t="shared" si="93"/>
        <v>0</v>
      </c>
      <c r="BN208">
        <f t="shared" si="94"/>
        <v>0</v>
      </c>
      <c r="BO208">
        <f t="shared" si="95"/>
        <v>0</v>
      </c>
      <c r="BP208">
        <f t="shared" si="96"/>
        <v>0</v>
      </c>
      <c r="BQ208">
        <f t="shared" si="97"/>
        <v>0</v>
      </c>
      <c r="BR208">
        <f t="shared" si="98"/>
        <v>0</v>
      </c>
      <c r="BS208">
        <f t="shared" si="99"/>
        <v>0</v>
      </c>
      <c r="BT208">
        <f t="shared" si="100"/>
        <v>0</v>
      </c>
      <c r="BU208" t="e">
        <f t="shared" si="70"/>
        <v>#DIV/0!</v>
      </c>
      <c r="BV208" t="e">
        <f t="shared" si="71"/>
        <v>#DIV/0!</v>
      </c>
      <c r="BX208" t="e">
        <f t="shared" si="72"/>
        <v>#DIV/0!</v>
      </c>
      <c r="BZ208" t="e">
        <v>#VALUE!</v>
      </c>
      <c r="CA208" t="e">
        <v>#VALUE!</v>
      </c>
      <c r="CB208" t="e">
        <v>#VALUE!</v>
      </c>
      <c r="CC208" t="e">
        <v>#VALUE!</v>
      </c>
      <c r="CD208" t="e">
        <v>#VALUE!</v>
      </c>
      <c r="CE208" t="e">
        <v>#VALUE!</v>
      </c>
      <c r="CF208">
        <v>0</v>
      </c>
      <c r="CG208">
        <v>0</v>
      </c>
      <c r="CH208" t="e">
        <v>#VALUE!</v>
      </c>
      <c r="CI208">
        <v>0</v>
      </c>
      <c r="CJ208" t="e">
        <v>#VALUE!</v>
      </c>
      <c r="CK208" t="e">
        <v>#VALUE!</v>
      </c>
      <c r="CL208" t="e">
        <v>#VALUE!</v>
      </c>
      <c r="CM208">
        <v>0</v>
      </c>
      <c r="CN208">
        <v>0</v>
      </c>
      <c r="CO208" t="e">
        <v>#VALUE!</v>
      </c>
      <c r="CP208" t="e">
        <v>#VALUE!</v>
      </c>
      <c r="CQ208" t="e">
        <v>#VALUE!</v>
      </c>
      <c r="CR208" t="e">
        <v>#VALUE!</v>
      </c>
      <c r="CS208" t="e">
        <v>#VALUE!</v>
      </c>
      <c r="CT208" t="e">
        <v>#VALUE!</v>
      </c>
      <c r="CU208" t="e">
        <v>#VALUE!</v>
      </c>
      <c r="CV208" t="e">
        <v>#VALUE!</v>
      </c>
      <c r="CW208" t="e">
        <v>#VALUE!</v>
      </c>
      <c r="CX208" t="e">
        <v>#VALUE!</v>
      </c>
      <c r="CY208" t="e">
        <v>#VALUE!</v>
      </c>
      <c r="CZ208" t="e">
        <v>#VALUE!</v>
      </c>
      <c r="DA208" t="e">
        <v>#VALUE!</v>
      </c>
      <c r="DB208" t="e">
        <v>#VALUE!</v>
      </c>
      <c r="DC208" s="24" t="e">
        <f t="shared" si="101"/>
        <v>#VALUE!</v>
      </c>
      <c r="DD208" s="24">
        <f t="shared" si="102"/>
        <v>0</v>
      </c>
      <c r="DE208" s="24" t="e">
        <f t="shared" si="104"/>
        <v>#VALUE!</v>
      </c>
      <c r="DG208" s="5" t="e">
        <f t="shared" si="103"/>
        <v>#DIV/0!</v>
      </c>
    </row>
    <row r="209" spans="1:111">
      <c r="B209" s="63" t="s">
        <v>305</v>
      </c>
      <c r="C209" s="63" t="s">
        <v>309</v>
      </c>
      <c r="D209" s="63"/>
      <c r="E209" s="63" t="s">
        <v>316</v>
      </c>
      <c r="F209" s="63"/>
      <c r="G209" s="63">
        <v>37.24</v>
      </c>
      <c r="H209" s="63">
        <v>0.9</v>
      </c>
      <c r="I209" s="63">
        <v>7.71</v>
      </c>
      <c r="J209" s="63"/>
      <c r="K209" s="63">
        <v>19.03</v>
      </c>
      <c r="L209" s="63"/>
      <c r="M209" s="63">
        <v>0.12</v>
      </c>
      <c r="N209" s="63">
        <v>0.5</v>
      </c>
      <c r="O209" s="63">
        <v>33.71</v>
      </c>
      <c r="Q209" s="63" t="s">
        <v>308</v>
      </c>
      <c r="S209" s="63"/>
      <c r="T209" s="63"/>
      <c r="X209" s="63" t="s">
        <v>308</v>
      </c>
      <c r="BG209">
        <f t="shared" si="87"/>
        <v>0</v>
      </c>
      <c r="BH209">
        <f t="shared" si="88"/>
        <v>0</v>
      </c>
      <c r="BI209">
        <f t="shared" si="89"/>
        <v>0</v>
      </c>
      <c r="BJ209">
        <f t="shared" si="90"/>
        <v>0</v>
      </c>
      <c r="BK209">
        <f t="shared" si="91"/>
        <v>0</v>
      </c>
      <c r="BL209">
        <f t="shared" si="92"/>
        <v>0</v>
      </c>
      <c r="BM209">
        <f t="shared" si="93"/>
        <v>0</v>
      </c>
      <c r="BN209">
        <f t="shared" si="94"/>
        <v>0</v>
      </c>
      <c r="BO209">
        <f t="shared" si="95"/>
        <v>0</v>
      </c>
      <c r="BP209">
        <f t="shared" si="96"/>
        <v>0</v>
      </c>
      <c r="BQ209">
        <f t="shared" si="97"/>
        <v>0</v>
      </c>
      <c r="BR209">
        <f t="shared" si="98"/>
        <v>0</v>
      </c>
      <c r="BS209">
        <f t="shared" si="99"/>
        <v>0</v>
      </c>
      <c r="BT209">
        <f t="shared" si="100"/>
        <v>0</v>
      </c>
      <c r="BU209" t="e">
        <f t="shared" si="70"/>
        <v>#DIV/0!</v>
      </c>
      <c r="BV209" t="e">
        <f t="shared" si="71"/>
        <v>#DIV/0!</v>
      </c>
      <c r="BX209" t="e">
        <f t="shared" si="72"/>
        <v>#DIV/0!</v>
      </c>
      <c r="BZ209" t="s">
        <v>173</v>
      </c>
      <c r="CA209" t="s">
        <v>173</v>
      </c>
      <c r="CB209" t="s">
        <v>173</v>
      </c>
      <c r="CC209" t="s">
        <v>173</v>
      </c>
      <c r="CD209" t="s">
        <v>173</v>
      </c>
      <c r="CE209" t="s">
        <v>173</v>
      </c>
      <c r="CF209">
        <v>0</v>
      </c>
      <c r="CG209">
        <v>0</v>
      </c>
      <c r="CH209" t="s">
        <v>173</v>
      </c>
      <c r="CI209">
        <v>0</v>
      </c>
      <c r="CJ209">
        <v>5.0000000000000001E-3</v>
      </c>
      <c r="CK209">
        <v>4.4299999999999999E-2</v>
      </c>
      <c r="CL209">
        <v>0</v>
      </c>
      <c r="CM209">
        <v>0</v>
      </c>
      <c r="CN209">
        <v>0</v>
      </c>
      <c r="CO209" t="s">
        <v>173</v>
      </c>
      <c r="CP209" t="s">
        <v>173</v>
      </c>
      <c r="CQ209" t="s">
        <v>173</v>
      </c>
      <c r="CR209" t="s">
        <v>173</v>
      </c>
      <c r="CS209" t="s">
        <v>173</v>
      </c>
      <c r="CT209" t="s">
        <v>173</v>
      </c>
      <c r="CU209">
        <v>1.1299999999999999E-2</v>
      </c>
      <c r="CV209">
        <v>4.7999999999999996E-3</v>
      </c>
      <c r="CW209">
        <v>1.72E-2</v>
      </c>
      <c r="CX209">
        <v>0.32640000000000002</v>
      </c>
      <c r="CY209">
        <v>0.59089999999999998</v>
      </c>
      <c r="CZ209" t="s">
        <v>173</v>
      </c>
      <c r="DA209" t="s">
        <v>173</v>
      </c>
      <c r="DB209" t="s">
        <v>173</v>
      </c>
      <c r="DC209" s="24">
        <f t="shared" si="101"/>
        <v>5.0000000000000001E-3</v>
      </c>
      <c r="DD209" s="24">
        <f t="shared" si="102"/>
        <v>0</v>
      </c>
      <c r="DE209" s="24">
        <f t="shared" si="104"/>
        <v>4.4299999999999999E-2</v>
      </c>
      <c r="DG209" s="5" t="e">
        <f t="shared" si="103"/>
        <v>#DIV/0!</v>
      </c>
    </row>
    <row r="210" spans="1:111">
      <c r="B210" s="63" t="s">
        <v>305</v>
      </c>
      <c r="C210" s="63" t="s">
        <v>306</v>
      </c>
      <c r="D210" s="63" t="s">
        <v>122</v>
      </c>
      <c r="E210" s="63"/>
      <c r="F210" s="63"/>
      <c r="G210" s="63">
        <v>37.06</v>
      </c>
      <c r="H210" s="63">
        <v>0.02</v>
      </c>
      <c r="I210" s="63">
        <v>5.29</v>
      </c>
      <c r="J210" s="63"/>
      <c r="K210" s="63">
        <v>22.59</v>
      </c>
      <c r="L210" s="63"/>
      <c r="M210" s="63">
        <v>0.05</v>
      </c>
      <c r="N210" s="63">
        <v>0.44</v>
      </c>
      <c r="O210" s="63">
        <v>33.22</v>
      </c>
      <c r="Q210" s="63" t="s">
        <v>308</v>
      </c>
      <c r="S210" s="63"/>
      <c r="T210" s="63"/>
      <c r="X210" s="63" t="s">
        <v>308</v>
      </c>
      <c r="BG210">
        <f t="shared" si="87"/>
        <v>0</v>
      </c>
      <c r="BH210">
        <f t="shared" si="88"/>
        <v>0</v>
      </c>
      <c r="BI210">
        <f t="shared" si="89"/>
        <v>0</v>
      </c>
      <c r="BJ210">
        <f t="shared" si="90"/>
        <v>0</v>
      </c>
      <c r="BK210">
        <f t="shared" si="91"/>
        <v>0</v>
      </c>
      <c r="BL210">
        <f t="shared" si="92"/>
        <v>0</v>
      </c>
      <c r="BM210">
        <f t="shared" si="93"/>
        <v>0</v>
      </c>
      <c r="BN210">
        <f t="shared" si="94"/>
        <v>0</v>
      </c>
      <c r="BO210">
        <f t="shared" si="95"/>
        <v>0</v>
      </c>
      <c r="BP210">
        <f t="shared" si="96"/>
        <v>0</v>
      </c>
      <c r="BQ210">
        <f t="shared" si="97"/>
        <v>0</v>
      </c>
      <c r="BR210">
        <f t="shared" si="98"/>
        <v>0</v>
      </c>
      <c r="BS210">
        <f t="shared" si="99"/>
        <v>0</v>
      </c>
      <c r="BT210">
        <f t="shared" si="100"/>
        <v>0</v>
      </c>
      <c r="BU210" t="e">
        <f t="shared" si="70"/>
        <v>#DIV/0!</v>
      </c>
      <c r="BV210" t="e">
        <f t="shared" si="71"/>
        <v>#DIV/0!</v>
      </c>
      <c r="BX210" t="e">
        <f t="shared" si="72"/>
        <v>#DIV/0!</v>
      </c>
      <c r="BZ210" t="s">
        <v>173</v>
      </c>
      <c r="CA210" t="s">
        <v>173</v>
      </c>
      <c r="CB210" t="s">
        <v>173</v>
      </c>
      <c r="CC210" t="s">
        <v>173</v>
      </c>
      <c r="CD210" t="s">
        <v>173</v>
      </c>
      <c r="CE210" t="s">
        <v>173</v>
      </c>
      <c r="CF210">
        <v>0</v>
      </c>
      <c r="CG210">
        <v>0</v>
      </c>
      <c r="CH210" t="s">
        <v>173</v>
      </c>
      <c r="CI210">
        <v>0</v>
      </c>
      <c r="CJ210">
        <v>0</v>
      </c>
      <c r="CK210">
        <v>1.1999999999999999E-3</v>
      </c>
      <c r="CL210">
        <v>0</v>
      </c>
      <c r="CM210">
        <v>0</v>
      </c>
      <c r="CN210">
        <v>0</v>
      </c>
      <c r="CO210" t="s">
        <v>173</v>
      </c>
      <c r="CP210" t="s">
        <v>173</v>
      </c>
      <c r="CQ210" t="s">
        <v>173</v>
      </c>
      <c r="CR210" t="s">
        <v>173</v>
      </c>
      <c r="CS210" t="s">
        <v>173</v>
      </c>
      <c r="CT210" t="s">
        <v>173</v>
      </c>
      <c r="CU210">
        <v>1.01E-2</v>
      </c>
      <c r="CV210">
        <v>2E-3</v>
      </c>
      <c r="CW210">
        <v>2.1700000000000001E-2</v>
      </c>
      <c r="CX210">
        <v>0.22</v>
      </c>
      <c r="CY210">
        <v>0.72709999999999997</v>
      </c>
      <c r="CZ210" t="s">
        <v>173</v>
      </c>
      <c r="DA210" t="s">
        <v>173</v>
      </c>
      <c r="DB210" t="s">
        <v>173</v>
      </c>
      <c r="DC210" s="24">
        <f t="shared" si="101"/>
        <v>0</v>
      </c>
      <c r="DD210" s="24">
        <f t="shared" si="102"/>
        <v>0</v>
      </c>
      <c r="DE210" s="24">
        <f t="shared" si="104"/>
        <v>1.1999999999999999E-3</v>
      </c>
      <c r="DG210" s="5" t="e">
        <f t="shared" si="103"/>
        <v>#DIV/0!</v>
      </c>
    </row>
    <row r="211" spans="1:111">
      <c r="B211" s="63" t="s">
        <v>305</v>
      </c>
      <c r="C211" s="63" t="s">
        <v>314</v>
      </c>
      <c r="D211" s="63" t="s">
        <v>123</v>
      </c>
      <c r="E211" s="63"/>
      <c r="F211" s="63"/>
      <c r="G211" s="63">
        <v>36.96</v>
      </c>
      <c r="H211" s="63">
        <v>1.41</v>
      </c>
      <c r="I211" s="63">
        <v>5.9</v>
      </c>
      <c r="J211" s="63"/>
      <c r="K211" s="63">
        <v>21.76</v>
      </c>
      <c r="L211" s="63"/>
      <c r="M211" s="63">
        <v>0.15</v>
      </c>
      <c r="N211" s="63">
        <v>0.31</v>
      </c>
      <c r="O211" s="63">
        <v>33.76</v>
      </c>
      <c r="Q211" s="63">
        <v>0</v>
      </c>
      <c r="S211" s="63"/>
      <c r="T211" s="63"/>
      <c r="X211" s="63">
        <v>0.02</v>
      </c>
      <c r="BG211">
        <f t="shared" si="87"/>
        <v>0</v>
      </c>
      <c r="BH211">
        <f t="shared" si="88"/>
        <v>0</v>
      </c>
      <c r="BI211">
        <f t="shared" si="89"/>
        <v>0</v>
      </c>
      <c r="BJ211">
        <f t="shared" si="90"/>
        <v>0</v>
      </c>
      <c r="BK211">
        <f t="shared" si="91"/>
        <v>0</v>
      </c>
      <c r="BL211">
        <f t="shared" si="92"/>
        <v>0</v>
      </c>
      <c r="BM211">
        <f t="shared" si="93"/>
        <v>0</v>
      </c>
      <c r="BN211">
        <f t="shared" si="94"/>
        <v>0</v>
      </c>
      <c r="BO211">
        <f t="shared" si="95"/>
        <v>0</v>
      </c>
      <c r="BP211">
        <f t="shared" si="96"/>
        <v>0</v>
      </c>
      <c r="BQ211">
        <f t="shared" si="97"/>
        <v>0</v>
      </c>
      <c r="BR211">
        <f t="shared" si="98"/>
        <v>0</v>
      </c>
      <c r="BS211">
        <f t="shared" si="99"/>
        <v>0</v>
      </c>
      <c r="BT211">
        <f t="shared" si="100"/>
        <v>0</v>
      </c>
      <c r="BU211" t="e">
        <f t="shared" si="70"/>
        <v>#DIV/0!</v>
      </c>
      <c r="BV211" t="e">
        <f t="shared" si="71"/>
        <v>#DIV/0!</v>
      </c>
      <c r="BX211" t="e">
        <f t="shared" si="72"/>
        <v>#DIV/0!</v>
      </c>
      <c r="BZ211" t="s">
        <v>173</v>
      </c>
      <c r="CA211" t="s">
        <v>173</v>
      </c>
      <c r="CB211" t="s">
        <v>173</v>
      </c>
      <c r="CC211" t="s">
        <v>173</v>
      </c>
      <c r="CD211" t="s">
        <v>173</v>
      </c>
      <c r="CE211" t="s">
        <v>173</v>
      </c>
      <c r="CF211">
        <v>0</v>
      </c>
      <c r="CG211">
        <v>0</v>
      </c>
      <c r="CH211" t="s">
        <v>173</v>
      </c>
      <c r="CI211">
        <v>0</v>
      </c>
      <c r="CJ211">
        <v>1.9099999999999999E-2</v>
      </c>
      <c r="CK211">
        <v>4.6800000000000001E-2</v>
      </c>
      <c r="CL211">
        <v>0</v>
      </c>
      <c r="CM211">
        <v>0</v>
      </c>
      <c r="CN211">
        <v>0</v>
      </c>
      <c r="CO211" t="s">
        <v>173</v>
      </c>
      <c r="CP211" t="s">
        <v>173</v>
      </c>
      <c r="CQ211" t="s">
        <v>173</v>
      </c>
      <c r="CR211" t="s">
        <v>173</v>
      </c>
      <c r="CS211" t="s">
        <v>173</v>
      </c>
      <c r="CT211" t="s">
        <v>173</v>
      </c>
      <c r="CU211">
        <v>7.0000000000000001E-3</v>
      </c>
      <c r="CV211">
        <v>6.0000000000000001E-3</v>
      </c>
      <c r="CW211">
        <v>2.0799999999999999E-2</v>
      </c>
      <c r="CX211">
        <v>0.22570000000000001</v>
      </c>
      <c r="CY211">
        <v>0.67459999999999998</v>
      </c>
      <c r="CZ211" t="s">
        <v>173</v>
      </c>
      <c r="DA211" t="s">
        <v>173</v>
      </c>
      <c r="DB211" t="s">
        <v>173</v>
      </c>
      <c r="DC211" s="24">
        <f t="shared" si="101"/>
        <v>1.9099999999999999E-2</v>
      </c>
      <c r="DD211" s="24">
        <f t="shared" si="102"/>
        <v>0</v>
      </c>
      <c r="DE211" s="24">
        <f t="shared" si="104"/>
        <v>4.6800000000000001E-2</v>
      </c>
      <c r="DG211" s="5" t="e">
        <f t="shared" si="103"/>
        <v>#DIV/0!</v>
      </c>
    </row>
    <row r="212" spans="1:111">
      <c r="B212" s="63" t="s">
        <v>305</v>
      </c>
      <c r="C212" s="63" t="s">
        <v>317</v>
      </c>
      <c r="D212" s="63"/>
      <c r="E212" s="63"/>
      <c r="F212" s="63"/>
      <c r="G212" s="63">
        <v>37.380000000000003</v>
      </c>
      <c r="H212" s="63">
        <v>0.35</v>
      </c>
      <c r="I212" s="63">
        <v>7.18</v>
      </c>
      <c r="J212" s="63"/>
      <c r="K212" s="63">
        <v>20.47</v>
      </c>
      <c r="L212" s="63"/>
      <c r="M212" s="63">
        <v>0.06</v>
      </c>
      <c r="N212" s="63">
        <v>0.47</v>
      </c>
      <c r="O212" s="63">
        <v>33.72</v>
      </c>
      <c r="Q212" s="63" t="s">
        <v>308</v>
      </c>
      <c r="S212" s="63"/>
      <c r="T212" s="63"/>
      <c r="X212" s="63">
        <v>0.05</v>
      </c>
      <c r="BG212">
        <f t="shared" si="87"/>
        <v>0</v>
      </c>
      <c r="BH212">
        <f t="shared" si="88"/>
        <v>0</v>
      </c>
      <c r="BI212">
        <f t="shared" si="89"/>
        <v>0</v>
      </c>
      <c r="BJ212">
        <f t="shared" si="90"/>
        <v>0</v>
      </c>
      <c r="BK212">
        <f t="shared" si="91"/>
        <v>0</v>
      </c>
      <c r="BL212">
        <f t="shared" si="92"/>
        <v>0</v>
      </c>
      <c r="BM212">
        <f t="shared" si="93"/>
        <v>0</v>
      </c>
      <c r="BN212">
        <f t="shared" si="94"/>
        <v>0</v>
      </c>
      <c r="BO212">
        <f t="shared" si="95"/>
        <v>0</v>
      </c>
      <c r="BP212">
        <f t="shared" si="96"/>
        <v>0</v>
      </c>
      <c r="BQ212">
        <f t="shared" si="97"/>
        <v>0</v>
      </c>
      <c r="BR212">
        <f t="shared" si="98"/>
        <v>0</v>
      </c>
      <c r="BS212">
        <f t="shared" si="99"/>
        <v>0</v>
      </c>
      <c r="BT212">
        <f t="shared" si="100"/>
        <v>0</v>
      </c>
      <c r="BU212" t="e">
        <f t="shared" si="70"/>
        <v>#DIV/0!</v>
      </c>
      <c r="BV212" t="e">
        <f t="shared" si="71"/>
        <v>#DIV/0!</v>
      </c>
      <c r="BX212" t="e">
        <f t="shared" si="72"/>
        <v>#DIV/0!</v>
      </c>
      <c r="BZ212" t="s">
        <v>173</v>
      </c>
      <c r="CA212" t="s">
        <v>173</v>
      </c>
      <c r="CB212" t="s">
        <v>173</v>
      </c>
      <c r="CC212" t="s">
        <v>173</v>
      </c>
      <c r="CD212" t="s">
        <v>173</v>
      </c>
      <c r="CE212" t="s">
        <v>173</v>
      </c>
      <c r="CF212">
        <v>0</v>
      </c>
      <c r="CG212">
        <v>0</v>
      </c>
      <c r="CH212" t="s">
        <v>173</v>
      </c>
      <c r="CI212">
        <v>0</v>
      </c>
      <c r="CJ212">
        <v>2.3999999999999998E-3</v>
      </c>
      <c r="CK212">
        <v>1.6199999999999999E-2</v>
      </c>
      <c r="CL212">
        <v>0</v>
      </c>
      <c r="CM212">
        <v>0</v>
      </c>
      <c r="CN212">
        <v>0</v>
      </c>
      <c r="CO212" t="s">
        <v>173</v>
      </c>
      <c r="CP212" t="s">
        <v>173</v>
      </c>
      <c r="CQ212" t="s">
        <v>173</v>
      </c>
      <c r="CR212" t="s">
        <v>173</v>
      </c>
      <c r="CS212" t="s">
        <v>173</v>
      </c>
      <c r="CT212" t="s">
        <v>173</v>
      </c>
      <c r="CU212">
        <v>1.06E-2</v>
      </c>
      <c r="CV212">
        <v>2.3999999999999998E-3</v>
      </c>
      <c r="CW212">
        <v>2.1999999999999999E-2</v>
      </c>
      <c r="CX212">
        <v>0.30159999999999998</v>
      </c>
      <c r="CY212">
        <v>0.64470000000000005</v>
      </c>
      <c r="CZ212" t="s">
        <v>173</v>
      </c>
      <c r="DA212" t="s">
        <v>173</v>
      </c>
      <c r="DB212" t="s">
        <v>173</v>
      </c>
      <c r="DC212" s="24">
        <f t="shared" si="101"/>
        <v>2.3999999999999998E-3</v>
      </c>
      <c r="DD212" s="24">
        <f t="shared" si="102"/>
        <v>0</v>
      </c>
      <c r="DE212" s="24">
        <f t="shared" si="104"/>
        <v>1.6199999999999999E-2</v>
      </c>
      <c r="DG212" s="5" t="e">
        <f t="shared" si="103"/>
        <v>#DIV/0!</v>
      </c>
    </row>
    <row r="213" spans="1:111">
      <c r="B213" s="63" t="s">
        <v>305</v>
      </c>
      <c r="C213" s="63" t="s">
        <v>318</v>
      </c>
      <c r="D213" s="63"/>
      <c r="E213" s="63"/>
      <c r="F213" s="63"/>
      <c r="G213" s="63">
        <v>37.840000000000003</v>
      </c>
      <c r="H213" s="63">
        <v>0.17</v>
      </c>
      <c r="I213" s="63">
        <v>7.06</v>
      </c>
      <c r="J213" s="63"/>
      <c r="K213" s="63">
        <v>20.83</v>
      </c>
      <c r="L213" s="63"/>
      <c r="M213" s="63">
        <v>7.0000000000000007E-2</v>
      </c>
      <c r="N213" s="63">
        <v>0.54</v>
      </c>
      <c r="O213" s="63">
        <v>33.69</v>
      </c>
      <c r="Q213" s="63" t="s">
        <v>308</v>
      </c>
      <c r="S213" s="63"/>
      <c r="T213" s="63"/>
      <c r="X213" s="63">
        <v>0.02</v>
      </c>
      <c r="BG213">
        <f t="shared" si="87"/>
        <v>0</v>
      </c>
      <c r="BH213">
        <f t="shared" si="88"/>
        <v>0</v>
      </c>
      <c r="BI213">
        <f t="shared" si="89"/>
        <v>0</v>
      </c>
      <c r="BJ213">
        <f t="shared" si="90"/>
        <v>0</v>
      </c>
      <c r="BK213">
        <f t="shared" si="91"/>
        <v>0</v>
      </c>
      <c r="BL213">
        <f t="shared" si="92"/>
        <v>0</v>
      </c>
      <c r="BM213">
        <f t="shared" si="93"/>
        <v>0</v>
      </c>
      <c r="BN213">
        <f t="shared" si="94"/>
        <v>0</v>
      </c>
      <c r="BO213">
        <f t="shared" si="95"/>
        <v>0</v>
      </c>
      <c r="BP213">
        <f t="shared" si="96"/>
        <v>0</v>
      </c>
      <c r="BQ213">
        <f t="shared" si="97"/>
        <v>0</v>
      </c>
      <c r="BR213">
        <f t="shared" si="98"/>
        <v>0</v>
      </c>
      <c r="BS213">
        <f t="shared" si="99"/>
        <v>0</v>
      </c>
      <c r="BT213">
        <f t="shared" si="100"/>
        <v>0</v>
      </c>
      <c r="BU213" t="e">
        <f t="shared" si="70"/>
        <v>#DIV/0!</v>
      </c>
      <c r="BV213" t="e">
        <f t="shared" si="71"/>
        <v>#DIV/0!</v>
      </c>
      <c r="BX213" t="e">
        <f t="shared" si="72"/>
        <v>#DIV/0!</v>
      </c>
      <c r="BZ213" t="s">
        <v>173</v>
      </c>
      <c r="CA213" t="s">
        <v>173</v>
      </c>
      <c r="CB213" t="s">
        <v>173</v>
      </c>
      <c r="CC213" t="s">
        <v>173</v>
      </c>
      <c r="CD213" t="s">
        <v>173</v>
      </c>
      <c r="CE213" t="s">
        <v>173</v>
      </c>
      <c r="CF213">
        <v>0</v>
      </c>
      <c r="CG213">
        <v>0</v>
      </c>
      <c r="CH213" t="s">
        <v>173</v>
      </c>
      <c r="CI213">
        <v>0</v>
      </c>
      <c r="CJ213">
        <v>0</v>
      </c>
      <c r="CK213">
        <v>1.0200000000000001E-2</v>
      </c>
      <c r="CL213">
        <v>0</v>
      </c>
      <c r="CM213">
        <v>0</v>
      </c>
      <c r="CN213">
        <v>0</v>
      </c>
      <c r="CO213" t="s">
        <v>173</v>
      </c>
      <c r="CP213" t="s">
        <v>173</v>
      </c>
      <c r="CQ213" t="s">
        <v>173</v>
      </c>
      <c r="CR213" t="s">
        <v>173</v>
      </c>
      <c r="CS213" t="s">
        <v>173</v>
      </c>
      <c r="CT213" t="s">
        <v>173</v>
      </c>
      <c r="CU213">
        <v>1.2200000000000001E-2</v>
      </c>
      <c r="CV213">
        <v>2.8E-3</v>
      </c>
      <c r="CW213">
        <v>2.5999999999999999E-2</v>
      </c>
      <c r="CX213">
        <v>0.29070000000000001</v>
      </c>
      <c r="CY213">
        <v>0.6421</v>
      </c>
      <c r="CZ213" t="s">
        <v>173</v>
      </c>
      <c r="DA213" t="s">
        <v>173</v>
      </c>
      <c r="DB213" t="s">
        <v>173</v>
      </c>
      <c r="DC213" s="24">
        <f t="shared" si="101"/>
        <v>0</v>
      </c>
      <c r="DD213" s="24">
        <f t="shared" si="102"/>
        <v>0</v>
      </c>
      <c r="DE213" s="24">
        <f t="shared" si="104"/>
        <v>1.0200000000000001E-2</v>
      </c>
      <c r="DG213" s="5" t="e">
        <f t="shared" si="103"/>
        <v>#DIV/0!</v>
      </c>
    </row>
    <row r="214" spans="1:111">
      <c r="B214" s="63" t="s">
        <v>305</v>
      </c>
      <c r="C214" s="63" t="s">
        <v>319</v>
      </c>
      <c r="D214" s="63"/>
      <c r="E214" s="63" t="s">
        <v>320</v>
      </c>
      <c r="F214" s="63"/>
      <c r="G214" s="63">
        <v>36.17</v>
      </c>
      <c r="H214" s="63">
        <v>2.57</v>
      </c>
      <c r="I214" s="63">
        <v>6.33</v>
      </c>
      <c r="J214" s="63"/>
      <c r="K214" s="63">
        <v>19.829999999999998</v>
      </c>
      <c r="L214" s="63"/>
      <c r="M214" s="63">
        <v>0.19</v>
      </c>
      <c r="N214" s="63">
        <v>0.41</v>
      </c>
      <c r="O214" s="63">
        <v>33.17</v>
      </c>
      <c r="Q214" s="63">
        <v>0.04</v>
      </c>
      <c r="S214" s="63"/>
      <c r="T214" s="63"/>
      <c r="X214" s="63">
        <v>0.1</v>
      </c>
      <c r="BG214">
        <f t="shared" si="87"/>
        <v>0</v>
      </c>
      <c r="BH214">
        <f t="shared" si="88"/>
        <v>0</v>
      </c>
      <c r="BI214">
        <f t="shared" si="89"/>
        <v>0</v>
      </c>
      <c r="BJ214">
        <f t="shared" si="90"/>
        <v>0</v>
      </c>
      <c r="BK214">
        <f t="shared" si="91"/>
        <v>0</v>
      </c>
      <c r="BL214">
        <f t="shared" si="92"/>
        <v>0</v>
      </c>
      <c r="BM214">
        <f t="shared" si="93"/>
        <v>0</v>
      </c>
      <c r="BN214">
        <f t="shared" si="94"/>
        <v>0</v>
      </c>
      <c r="BO214">
        <f t="shared" si="95"/>
        <v>0</v>
      </c>
      <c r="BP214">
        <f t="shared" si="96"/>
        <v>0</v>
      </c>
      <c r="BQ214">
        <f t="shared" si="97"/>
        <v>0</v>
      </c>
      <c r="BR214">
        <f t="shared" si="98"/>
        <v>0</v>
      </c>
      <c r="BS214">
        <f t="shared" si="99"/>
        <v>0</v>
      </c>
      <c r="BT214">
        <f t="shared" si="100"/>
        <v>0</v>
      </c>
      <c r="BU214" t="e">
        <f t="shared" si="70"/>
        <v>#DIV/0!</v>
      </c>
      <c r="BV214" t="e">
        <f t="shared" si="71"/>
        <v>#DIV/0!</v>
      </c>
      <c r="BX214" t="e">
        <f t="shared" si="72"/>
        <v>#DIV/0!</v>
      </c>
      <c r="BZ214" t="s">
        <v>173</v>
      </c>
      <c r="CA214" t="s">
        <v>173</v>
      </c>
      <c r="CB214" t="s">
        <v>173</v>
      </c>
      <c r="CC214" t="s">
        <v>173</v>
      </c>
      <c r="CD214" t="s">
        <v>173</v>
      </c>
      <c r="CE214" t="s">
        <v>173</v>
      </c>
      <c r="CF214">
        <v>0</v>
      </c>
      <c r="CG214">
        <v>0</v>
      </c>
      <c r="CH214" t="s">
        <v>173</v>
      </c>
      <c r="CI214">
        <v>0</v>
      </c>
      <c r="CJ214">
        <v>2.8500000000000001E-2</v>
      </c>
      <c r="CK214">
        <v>0.1004</v>
      </c>
      <c r="CL214">
        <v>0</v>
      </c>
      <c r="CM214">
        <v>0</v>
      </c>
      <c r="CN214">
        <v>0</v>
      </c>
      <c r="CO214" t="s">
        <v>173</v>
      </c>
      <c r="CP214" t="s">
        <v>173</v>
      </c>
      <c r="CQ214" t="s">
        <v>173</v>
      </c>
      <c r="CR214" t="s">
        <v>173</v>
      </c>
      <c r="CS214" t="s">
        <v>173</v>
      </c>
      <c r="CT214" t="s">
        <v>173</v>
      </c>
      <c r="CU214">
        <v>9.4000000000000004E-3</v>
      </c>
      <c r="CV214">
        <v>7.7000000000000002E-3</v>
      </c>
      <c r="CW214">
        <v>1.9E-2</v>
      </c>
      <c r="CX214">
        <v>0.23899999999999999</v>
      </c>
      <c r="CY214">
        <v>0.59609999999999996</v>
      </c>
      <c r="CZ214" t="s">
        <v>173</v>
      </c>
      <c r="DA214" t="s">
        <v>173</v>
      </c>
      <c r="DB214" t="s">
        <v>173</v>
      </c>
      <c r="DC214" s="24">
        <f t="shared" si="101"/>
        <v>2.8500000000000001E-2</v>
      </c>
      <c r="DD214" s="24">
        <f t="shared" si="102"/>
        <v>0</v>
      </c>
      <c r="DE214" s="24">
        <f t="shared" si="104"/>
        <v>0.1004</v>
      </c>
      <c r="DG214" s="5" t="e">
        <f t="shared" si="103"/>
        <v>#DIV/0!</v>
      </c>
    </row>
    <row r="215" spans="1:111">
      <c r="B215" s="63" t="s">
        <v>305</v>
      </c>
      <c r="C215" s="63" t="s">
        <v>311</v>
      </c>
      <c r="D215" s="63" t="s">
        <v>122</v>
      </c>
      <c r="E215" s="63"/>
      <c r="F215" s="63"/>
      <c r="G215" s="63">
        <v>36.96</v>
      </c>
      <c r="H215" s="63">
        <v>0.01</v>
      </c>
      <c r="I215" s="63">
        <v>6.55</v>
      </c>
      <c r="J215" s="63"/>
      <c r="K215" s="63">
        <v>20.95</v>
      </c>
      <c r="L215" s="63"/>
      <c r="M215" s="63">
        <v>0.04</v>
      </c>
      <c r="N215" s="63">
        <v>0.11</v>
      </c>
      <c r="O215" s="63">
        <v>34.340000000000003</v>
      </c>
      <c r="Q215" s="63" t="s">
        <v>308</v>
      </c>
      <c r="S215" s="63"/>
      <c r="T215" s="63"/>
      <c r="X215" s="63" t="s">
        <v>308</v>
      </c>
      <c r="BG215">
        <f t="shared" si="87"/>
        <v>0</v>
      </c>
      <c r="BH215">
        <f t="shared" si="88"/>
        <v>0</v>
      </c>
      <c r="BI215">
        <f t="shared" si="89"/>
        <v>0</v>
      </c>
      <c r="BJ215">
        <f t="shared" si="90"/>
        <v>0</v>
      </c>
      <c r="BK215">
        <f t="shared" si="91"/>
        <v>0</v>
      </c>
      <c r="BL215">
        <f t="shared" si="92"/>
        <v>0</v>
      </c>
      <c r="BM215">
        <f t="shared" si="93"/>
        <v>0</v>
      </c>
      <c r="BN215">
        <f t="shared" si="94"/>
        <v>0</v>
      </c>
      <c r="BO215">
        <f t="shared" si="95"/>
        <v>0</v>
      </c>
      <c r="BP215">
        <f t="shared" si="96"/>
        <v>0</v>
      </c>
      <c r="BQ215">
        <f t="shared" si="97"/>
        <v>0</v>
      </c>
      <c r="BR215">
        <f t="shared" si="98"/>
        <v>0</v>
      </c>
      <c r="BS215">
        <f t="shared" si="99"/>
        <v>0</v>
      </c>
      <c r="BT215">
        <f t="shared" si="100"/>
        <v>0</v>
      </c>
      <c r="BU215" t="e">
        <f t="shared" si="70"/>
        <v>#DIV/0!</v>
      </c>
      <c r="BV215" t="e">
        <f t="shared" si="71"/>
        <v>#DIV/0!</v>
      </c>
      <c r="BX215" t="e">
        <f t="shared" si="72"/>
        <v>#DIV/0!</v>
      </c>
      <c r="BZ215" t="s">
        <v>173</v>
      </c>
      <c r="CA215" t="s">
        <v>173</v>
      </c>
      <c r="CB215" t="s">
        <v>173</v>
      </c>
      <c r="CC215" t="s">
        <v>173</v>
      </c>
      <c r="CD215" t="s">
        <v>173</v>
      </c>
      <c r="CE215" t="s">
        <v>173</v>
      </c>
      <c r="CF215">
        <v>0</v>
      </c>
      <c r="CG215">
        <v>0</v>
      </c>
      <c r="CH215" t="s">
        <v>173</v>
      </c>
      <c r="CI215">
        <v>0</v>
      </c>
      <c r="CJ215">
        <v>2.9999999999999997E-4</v>
      </c>
      <c r="CK215">
        <v>0</v>
      </c>
      <c r="CL215">
        <v>0</v>
      </c>
      <c r="CM215">
        <v>0</v>
      </c>
      <c r="CN215">
        <v>0</v>
      </c>
      <c r="CO215" t="s">
        <v>173</v>
      </c>
      <c r="CP215" t="s">
        <v>173</v>
      </c>
      <c r="CQ215" t="s">
        <v>173</v>
      </c>
      <c r="CR215" t="s">
        <v>173</v>
      </c>
      <c r="CS215" t="s">
        <v>173</v>
      </c>
      <c r="CT215" t="s">
        <v>173</v>
      </c>
      <c r="CU215">
        <v>2.5000000000000001E-3</v>
      </c>
      <c r="CV215">
        <v>1.6000000000000001E-3</v>
      </c>
      <c r="CW215">
        <v>5.9999999999999995E-4</v>
      </c>
      <c r="CX215">
        <v>0.29780000000000001</v>
      </c>
      <c r="CY215">
        <v>0.6915</v>
      </c>
      <c r="CZ215" t="s">
        <v>173</v>
      </c>
      <c r="DA215" t="s">
        <v>173</v>
      </c>
      <c r="DB215" t="s">
        <v>173</v>
      </c>
      <c r="DC215" s="24">
        <f t="shared" si="101"/>
        <v>2.9999999999999997E-4</v>
      </c>
      <c r="DD215" s="24">
        <f t="shared" si="102"/>
        <v>0</v>
      </c>
      <c r="DE215" s="24">
        <f t="shared" si="104"/>
        <v>0</v>
      </c>
      <c r="DG215" s="5" t="e">
        <f t="shared" si="103"/>
        <v>#DIV/0!</v>
      </c>
    </row>
    <row r="216" spans="1:111">
      <c r="B216" s="63" t="s">
        <v>305</v>
      </c>
      <c r="C216" s="63" t="s">
        <v>312</v>
      </c>
      <c r="D216" s="63"/>
      <c r="E216" s="63"/>
      <c r="F216" s="63"/>
      <c r="G216" s="63">
        <v>37.549999999999997</v>
      </c>
      <c r="H216" s="63">
        <v>0.05</v>
      </c>
      <c r="I216" s="63">
        <v>6.98</v>
      </c>
      <c r="J216" s="63"/>
      <c r="K216" s="63">
        <v>21.01</v>
      </c>
      <c r="L216" s="63"/>
      <c r="M216" s="63">
        <v>7.0000000000000007E-2</v>
      </c>
      <c r="N216" s="63">
        <v>0.1</v>
      </c>
      <c r="O216" s="63">
        <v>34.85</v>
      </c>
      <c r="Q216" s="63" t="s">
        <v>308</v>
      </c>
      <c r="S216" s="63"/>
      <c r="T216" s="63"/>
      <c r="X216" s="63" t="s">
        <v>308</v>
      </c>
      <c r="BG216">
        <f t="shared" ref="BG216:BG263" si="105">AH216/BG$2</f>
        <v>0</v>
      </c>
      <c r="BH216">
        <f t="shared" ref="BH216:BH263" si="106">AI216/BH$2</f>
        <v>0</v>
      </c>
      <c r="BI216">
        <f t="shared" ref="BI216:BI263" si="107">AJ216/BI$2</f>
        <v>0</v>
      </c>
      <c r="BJ216">
        <f t="shared" ref="BJ216:BJ263" si="108">AK216/BJ$2</f>
        <v>0</v>
      </c>
      <c r="BK216">
        <f t="shared" ref="BK216:BK263" si="109">AL216/BK$2</f>
        <v>0</v>
      </c>
      <c r="BL216">
        <f t="shared" ref="BL216:BL263" si="110">AM216/BL$2</f>
        <v>0</v>
      </c>
      <c r="BM216">
        <f t="shared" ref="BM216:BM263" si="111">AN216/BM$2</f>
        <v>0</v>
      </c>
      <c r="BN216">
        <f t="shared" ref="BN216:BN263" si="112">AO216/BN$2</f>
        <v>0</v>
      </c>
      <c r="BO216">
        <f t="shared" ref="BO216:BO263" si="113">AP216/BO$2</f>
        <v>0</v>
      </c>
      <c r="BP216">
        <f t="shared" ref="BP216:BP263" si="114">AQ216/BP$2</f>
        <v>0</v>
      </c>
      <c r="BQ216">
        <f t="shared" ref="BQ216:BQ263" si="115">AR216/BQ$2</f>
        <v>0</v>
      </c>
      <c r="BR216">
        <f t="shared" ref="BR216:BR263" si="116">AS216/BR$2</f>
        <v>0</v>
      </c>
      <c r="BS216">
        <f t="shared" ref="BS216:BS263" si="117">AT216/BS$2</f>
        <v>0</v>
      </c>
      <c r="BT216">
        <f t="shared" ref="BT216:BT263" si="118">AU216/BT$2</f>
        <v>0</v>
      </c>
      <c r="BU216" t="e">
        <f t="shared" ref="BU216:BU263" si="119">BK216/BS216</f>
        <v>#DIV/0!</v>
      </c>
      <c r="BV216" t="e">
        <f t="shared" ref="BV216:BV263" si="120">BK216/BG216</f>
        <v>#DIV/0!</v>
      </c>
      <c r="BX216" t="e">
        <f t="shared" ref="BX216:BX263" si="121">BG216/BS216</f>
        <v>#DIV/0!</v>
      </c>
      <c r="BZ216" t="s">
        <v>173</v>
      </c>
      <c r="CA216" t="s">
        <v>173</v>
      </c>
      <c r="CB216" t="s">
        <v>173</v>
      </c>
      <c r="CC216" t="s">
        <v>173</v>
      </c>
      <c r="CD216" t="s">
        <v>173</v>
      </c>
      <c r="CE216" t="s">
        <v>173</v>
      </c>
      <c r="CF216">
        <v>0</v>
      </c>
      <c r="CG216">
        <v>0</v>
      </c>
      <c r="CH216" t="s">
        <v>173</v>
      </c>
      <c r="CI216">
        <v>0</v>
      </c>
      <c r="CJ216">
        <v>1.5E-3</v>
      </c>
      <c r="CK216">
        <v>0</v>
      </c>
      <c r="CL216">
        <v>0</v>
      </c>
      <c r="CM216">
        <v>0</v>
      </c>
      <c r="CN216">
        <v>0</v>
      </c>
      <c r="CO216" t="s">
        <v>173</v>
      </c>
      <c r="CP216" t="s">
        <v>173</v>
      </c>
      <c r="CQ216" t="s">
        <v>173</v>
      </c>
      <c r="CR216" t="s">
        <v>173</v>
      </c>
      <c r="CS216" t="s">
        <v>173</v>
      </c>
      <c r="CT216" t="s">
        <v>173</v>
      </c>
      <c r="CU216">
        <v>2.2000000000000001E-3</v>
      </c>
      <c r="CV216">
        <v>2.8E-3</v>
      </c>
      <c r="CW216">
        <v>1.5E-3</v>
      </c>
      <c r="CX216">
        <v>0.30790000000000001</v>
      </c>
      <c r="CY216">
        <v>0.67730000000000001</v>
      </c>
      <c r="CZ216" t="s">
        <v>173</v>
      </c>
      <c r="DA216" t="s">
        <v>173</v>
      </c>
      <c r="DB216" t="s">
        <v>173</v>
      </c>
      <c r="DC216" s="24">
        <f t="shared" si="101"/>
        <v>1.5E-3</v>
      </c>
      <c r="DD216" s="24">
        <f t="shared" si="102"/>
        <v>0</v>
      </c>
      <c r="DE216" s="24">
        <f t="shared" si="104"/>
        <v>0</v>
      </c>
      <c r="DG216" s="5" t="e">
        <f t="shared" si="103"/>
        <v>#DIV/0!</v>
      </c>
    </row>
    <row r="217" spans="1:111">
      <c r="B217" s="63" t="s">
        <v>305</v>
      </c>
      <c r="C217" s="63" t="s">
        <v>310</v>
      </c>
      <c r="D217" s="63"/>
      <c r="E217" s="63"/>
      <c r="F217" s="63"/>
      <c r="G217" s="63">
        <v>37.4</v>
      </c>
      <c r="H217" s="63" t="s">
        <v>308</v>
      </c>
      <c r="I217" s="63">
        <v>7.45</v>
      </c>
      <c r="J217" s="63"/>
      <c r="K217" s="63">
        <v>20.53</v>
      </c>
      <c r="L217" s="63"/>
      <c r="M217" s="63">
        <v>0.06</v>
      </c>
      <c r="N217" s="63">
        <v>0.05</v>
      </c>
      <c r="O217" s="63">
        <v>34.340000000000003</v>
      </c>
      <c r="Q217" s="63">
        <v>0.01</v>
      </c>
      <c r="S217" s="63"/>
      <c r="T217" s="63"/>
      <c r="X217" s="63" t="s">
        <v>308</v>
      </c>
      <c r="BG217">
        <f t="shared" si="105"/>
        <v>0</v>
      </c>
      <c r="BH217">
        <f t="shared" si="106"/>
        <v>0</v>
      </c>
      <c r="BI217">
        <f t="shared" si="107"/>
        <v>0</v>
      </c>
      <c r="BJ217">
        <f t="shared" si="108"/>
        <v>0</v>
      </c>
      <c r="BK217">
        <f t="shared" si="109"/>
        <v>0</v>
      </c>
      <c r="BL217">
        <f t="shared" si="110"/>
        <v>0</v>
      </c>
      <c r="BM217">
        <f t="shared" si="111"/>
        <v>0</v>
      </c>
      <c r="BN217">
        <f t="shared" si="112"/>
        <v>0</v>
      </c>
      <c r="BO217">
        <f t="shared" si="113"/>
        <v>0</v>
      </c>
      <c r="BP217">
        <f t="shared" si="114"/>
        <v>0</v>
      </c>
      <c r="BQ217">
        <f t="shared" si="115"/>
        <v>0</v>
      </c>
      <c r="BR217">
        <f t="shared" si="116"/>
        <v>0</v>
      </c>
      <c r="BS217">
        <f t="shared" si="117"/>
        <v>0</v>
      </c>
      <c r="BT217">
        <f t="shared" si="118"/>
        <v>0</v>
      </c>
      <c r="BU217" t="e">
        <f t="shared" si="119"/>
        <v>#DIV/0!</v>
      </c>
      <c r="BV217" t="e">
        <f t="shared" si="120"/>
        <v>#DIV/0!</v>
      </c>
      <c r="BX217" t="e">
        <f t="shared" si="121"/>
        <v>#DIV/0!</v>
      </c>
      <c r="CA217" t="s">
        <v>173</v>
      </c>
      <c r="CB217" t="s">
        <v>173</v>
      </c>
      <c r="CC217" t="s">
        <v>173</v>
      </c>
      <c r="CD217" t="s">
        <v>173</v>
      </c>
      <c r="CE217" t="s">
        <v>173</v>
      </c>
      <c r="CF217">
        <v>0</v>
      </c>
      <c r="CG217">
        <v>0</v>
      </c>
      <c r="CH217" t="s">
        <v>173</v>
      </c>
      <c r="CI217">
        <v>0</v>
      </c>
      <c r="CJ217">
        <v>1.5E-3</v>
      </c>
      <c r="CK217">
        <v>0</v>
      </c>
      <c r="CL217">
        <v>0</v>
      </c>
      <c r="CM217">
        <v>0</v>
      </c>
      <c r="CN217">
        <v>0</v>
      </c>
      <c r="CO217" t="s">
        <v>173</v>
      </c>
      <c r="CP217" t="s">
        <v>173</v>
      </c>
      <c r="CQ217" t="s">
        <v>173</v>
      </c>
      <c r="CR217" t="s">
        <v>173</v>
      </c>
      <c r="CS217" t="s">
        <v>173</v>
      </c>
      <c r="CT217" t="s">
        <v>173</v>
      </c>
      <c r="CU217">
        <v>2.2000000000000001E-3</v>
      </c>
      <c r="CV217">
        <v>2.8E-3</v>
      </c>
      <c r="CW217">
        <v>1.5E-3</v>
      </c>
      <c r="CX217">
        <v>0.30790000000000001</v>
      </c>
      <c r="CY217">
        <v>0.67730000000000001</v>
      </c>
      <c r="CZ217" t="s">
        <v>173</v>
      </c>
      <c r="DA217" t="s">
        <v>173</v>
      </c>
      <c r="DB217" t="s">
        <v>173</v>
      </c>
      <c r="DC217" s="24">
        <f t="shared" si="101"/>
        <v>1.5E-3</v>
      </c>
      <c r="DD217" s="24">
        <f t="shared" si="102"/>
        <v>0</v>
      </c>
      <c r="DE217" s="24">
        <f t="shared" si="104"/>
        <v>0</v>
      </c>
      <c r="DG217" s="5" t="e">
        <f t="shared" si="103"/>
        <v>#DIV/0!</v>
      </c>
    </row>
    <row r="218" spans="1:111">
      <c r="B218" s="63" t="s">
        <v>305</v>
      </c>
      <c r="C218" s="63" t="s">
        <v>309</v>
      </c>
      <c r="D218" s="63"/>
      <c r="E218" s="63"/>
      <c r="F218" s="63"/>
      <c r="G218" s="63">
        <v>37.61</v>
      </c>
      <c r="H218" s="63" t="s">
        <v>308</v>
      </c>
      <c r="I218" s="63">
        <v>7.88</v>
      </c>
      <c r="J218" s="63"/>
      <c r="K218" s="63">
        <v>20.53</v>
      </c>
      <c r="L218" s="63"/>
      <c r="M218" s="63">
        <v>0.05</v>
      </c>
      <c r="N218" s="63">
        <v>0.08</v>
      </c>
      <c r="O218" s="63">
        <v>34.68</v>
      </c>
      <c r="Q218" s="63">
        <v>0</v>
      </c>
      <c r="S218" s="63"/>
      <c r="T218" s="63"/>
      <c r="X218" s="63" t="s">
        <v>308</v>
      </c>
      <c r="BG218">
        <f t="shared" si="105"/>
        <v>0</v>
      </c>
      <c r="BH218">
        <f t="shared" si="106"/>
        <v>0</v>
      </c>
      <c r="BI218">
        <f t="shared" si="107"/>
        <v>0</v>
      </c>
      <c r="BJ218">
        <f t="shared" si="108"/>
        <v>0</v>
      </c>
      <c r="BK218">
        <f t="shared" si="109"/>
        <v>0</v>
      </c>
      <c r="BL218">
        <f t="shared" si="110"/>
        <v>0</v>
      </c>
      <c r="BM218">
        <f t="shared" si="111"/>
        <v>0</v>
      </c>
      <c r="BN218">
        <f t="shared" si="112"/>
        <v>0</v>
      </c>
      <c r="BO218">
        <f t="shared" si="113"/>
        <v>0</v>
      </c>
      <c r="BP218">
        <f t="shared" si="114"/>
        <v>0</v>
      </c>
      <c r="BQ218">
        <f t="shared" si="115"/>
        <v>0</v>
      </c>
      <c r="BR218">
        <f t="shared" si="116"/>
        <v>0</v>
      </c>
      <c r="BS218">
        <f t="shared" si="117"/>
        <v>0</v>
      </c>
      <c r="BT218">
        <f t="shared" si="118"/>
        <v>0</v>
      </c>
      <c r="BU218" t="e">
        <f t="shared" si="119"/>
        <v>#DIV/0!</v>
      </c>
      <c r="BV218" t="e">
        <f t="shared" si="120"/>
        <v>#DIV/0!</v>
      </c>
      <c r="BX218" t="e">
        <f t="shared" si="121"/>
        <v>#DIV/0!</v>
      </c>
      <c r="CA218" t="s">
        <v>173</v>
      </c>
      <c r="CB218" t="s">
        <v>173</v>
      </c>
      <c r="CC218" t="s">
        <v>173</v>
      </c>
      <c r="CD218" t="s">
        <v>173</v>
      </c>
      <c r="CE218" t="s">
        <v>173</v>
      </c>
      <c r="CF218">
        <v>0</v>
      </c>
      <c r="CG218">
        <v>0</v>
      </c>
      <c r="CH218" t="s">
        <v>173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 t="s">
        <v>173</v>
      </c>
      <c r="CP218" t="s">
        <v>173</v>
      </c>
      <c r="CQ218" t="s">
        <v>173</v>
      </c>
      <c r="CR218" t="s">
        <v>173</v>
      </c>
      <c r="CS218" t="s">
        <v>173</v>
      </c>
      <c r="CT218" t="s">
        <v>173</v>
      </c>
      <c r="CU218">
        <v>1.1000000000000001E-3</v>
      </c>
      <c r="CV218">
        <v>2.3999999999999998E-3</v>
      </c>
      <c r="CW218">
        <v>1.26E-2</v>
      </c>
      <c r="CX218">
        <v>0.32600000000000001</v>
      </c>
      <c r="CY218">
        <v>0.65249999999999997</v>
      </c>
      <c r="CZ218" t="s">
        <v>173</v>
      </c>
      <c r="DA218" t="s">
        <v>173</v>
      </c>
      <c r="DB218" t="s">
        <v>173</v>
      </c>
      <c r="DC218" s="24">
        <f t="shared" si="101"/>
        <v>0</v>
      </c>
      <c r="DD218" s="24">
        <f t="shared" si="102"/>
        <v>0</v>
      </c>
      <c r="DE218" s="24">
        <f t="shared" si="104"/>
        <v>0</v>
      </c>
      <c r="DG218" s="5" t="e">
        <f t="shared" si="103"/>
        <v>#DIV/0!</v>
      </c>
    </row>
    <row r="219" spans="1:111">
      <c r="B219" s="63" t="s">
        <v>305</v>
      </c>
      <c r="C219" s="63" t="s">
        <v>306</v>
      </c>
      <c r="D219" s="63" t="s">
        <v>123</v>
      </c>
      <c r="E219" s="63"/>
      <c r="F219" s="63"/>
      <c r="G219" s="63">
        <v>37.22</v>
      </c>
      <c r="H219" s="63">
        <v>0.04</v>
      </c>
      <c r="I219" s="63">
        <v>4.6100000000000003</v>
      </c>
      <c r="J219" s="63"/>
      <c r="K219" s="63">
        <v>23.86</v>
      </c>
      <c r="L219" s="63"/>
      <c r="M219" s="63">
        <v>0.03</v>
      </c>
      <c r="N219" s="63">
        <v>0.15</v>
      </c>
      <c r="O219" s="63">
        <v>34.15</v>
      </c>
      <c r="Q219" s="63" t="s">
        <v>308</v>
      </c>
      <c r="S219" s="63"/>
      <c r="T219" s="63"/>
      <c r="X219" s="63">
        <v>0.01</v>
      </c>
      <c r="BG219">
        <f t="shared" si="105"/>
        <v>0</v>
      </c>
      <c r="BH219">
        <f t="shared" si="106"/>
        <v>0</v>
      </c>
      <c r="BI219">
        <f t="shared" si="107"/>
        <v>0</v>
      </c>
      <c r="BJ219">
        <f t="shared" si="108"/>
        <v>0</v>
      </c>
      <c r="BK219">
        <f t="shared" si="109"/>
        <v>0</v>
      </c>
      <c r="BL219">
        <f t="shared" si="110"/>
        <v>0</v>
      </c>
      <c r="BM219">
        <f t="shared" si="111"/>
        <v>0</v>
      </c>
      <c r="BN219">
        <f t="shared" si="112"/>
        <v>0</v>
      </c>
      <c r="BO219">
        <f t="shared" si="113"/>
        <v>0</v>
      </c>
      <c r="BP219">
        <f t="shared" si="114"/>
        <v>0</v>
      </c>
      <c r="BQ219">
        <f t="shared" si="115"/>
        <v>0</v>
      </c>
      <c r="BR219">
        <f t="shared" si="116"/>
        <v>0</v>
      </c>
      <c r="BS219">
        <f t="shared" si="117"/>
        <v>0</v>
      </c>
      <c r="BT219">
        <f t="shared" si="118"/>
        <v>0</v>
      </c>
      <c r="BU219" t="e">
        <f t="shared" si="119"/>
        <v>#DIV/0!</v>
      </c>
      <c r="BV219" t="e">
        <f t="shared" si="120"/>
        <v>#DIV/0!</v>
      </c>
      <c r="BX219" t="e">
        <f t="shared" si="121"/>
        <v>#DIV/0!</v>
      </c>
      <c r="CA219" t="s">
        <v>173</v>
      </c>
      <c r="CB219" t="s">
        <v>173</v>
      </c>
      <c r="CC219" t="s">
        <v>173</v>
      </c>
      <c r="CD219" t="s">
        <v>173</v>
      </c>
      <c r="CE219" t="s">
        <v>173</v>
      </c>
      <c r="CF219">
        <v>0</v>
      </c>
      <c r="CG219">
        <v>0</v>
      </c>
      <c r="CH219" t="s">
        <v>173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 t="s">
        <v>173</v>
      </c>
      <c r="CP219" t="s">
        <v>173</v>
      </c>
      <c r="CQ219" t="s">
        <v>173</v>
      </c>
      <c r="CR219" t="s">
        <v>173</v>
      </c>
      <c r="CS219" t="s">
        <v>173</v>
      </c>
      <c r="CT219" t="s">
        <v>173</v>
      </c>
      <c r="CU219">
        <v>1.8E-3</v>
      </c>
      <c r="CV219">
        <v>2E-3</v>
      </c>
      <c r="CW219">
        <v>8.0999999999999996E-3</v>
      </c>
      <c r="CX219">
        <v>0.3387</v>
      </c>
      <c r="CY219">
        <v>0.63880000000000003</v>
      </c>
      <c r="CZ219" t="s">
        <v>173</v>
      </c>
      <c r="DA219" t="s">
        <v>173</v>
      </c>
      <c r="DB219" t="s">
        <v>173</v>
      </c>
      <c r="DC219" s="24">
        <f t="shared" si="101"/>
        <v>0</v>
      </c>
      <c r="DD219" s="24">
        <f t="shared" si="102"/>
        <v>0</v>
      </c>
      <c r="DE219" s="24">
        <f t="shared" si="104"/>
        <v>0</v>
      </c>
      <c r="DG219" s="5" t="e">
        <f t="shared" si="103"/>
        <v>#DIV/0!</v>
      </c>
    </row>
    <row r="220" spans="1:111">
      <c r="B220" s="63" t="s">
        <v>305</v>
      </c>
      <c r="C220" s="63" t="s">
        <v>313</v>
      </c>
      <c r="D220" s="63"/>
      <c r="E220" s="63"/>
      <c r="F220" s="63"/>
      <c r="G220" s="63">
        <v>36.72</v>
      </c>
      <c r="H220" s="63">
        <v>0.1</v>
      </c>
      <c r="I220" s="63">
        <v>3.83</v>
      </c>
      <c r="J220" s="63"/>
      <c r="K220" s="63">
        <v>25.99</v>
      </c>
      <c r="L220" s="63"/>
      <c r="M220" s="63">
        <v>0.09</v>
      </c>
      <c r="N220" s="63">
        <v>0.61</v>
      </c>
      <c r="O220" s="63">
        <v>32.340000000000003</v>
      </c>
      <c r="Q220" s="63">
        <v>0</v>
      </c>
      <c r="S220" s="63"/>
      <c r="T220" s="63"/>
      <c r="X220" s="63" t="s">
        <v>308</v>
      </c>
      <c r="BG220">
        <f t="shared" si="105"/>
        <v>0</v>
      </c>
      <c r="BH220">
        <f t="shared" si="106"/>
        <v>0</v>
      </c>
      <c r="BI220">
        <f t="shared" si="107"/>
        <v>0</v>
      </c>
      <c r="BJ220">
        <f t="shared" si="108"/>
        <v>0</v>
      </c>
      <c r="BK220">
        <f t="shared" si="109"/>
        <v>0</v>
      </c>
      <c r="BL220">
        <f t="shared" si="110"/>
        <v>0</v>
      </c>
      <c r="BM220">
        <f t="shared" si="111"/>
        <v>0</v>
      </c>
      <c r="BN220">
        <f t="shared" si="112"/>
        <v>0</v>
      </c>
      <c r="BO220">
        <f t="shared" si="113"/>
        <v>0</v>
      </c>
      <c r="BP220">
        <f t="shared" si="114"/>
        <v>0</v>
      </c>
      <c r="BQ220">
        <f t="shared" si="115"/>
        <v>0</v>
      </c>
      <c r="BR220">
        <f t="shared" si="116"/>
        <v>0</v>
      </c>
      <c r="BS220">
        <f t="shared" si="117"/>
        <v>0</v>
      </c>
      <c r="BT220">
        <f t="shared" si="118"/>
        <v>0</v>
      </c>
      <c r="BU220" t="e">
        <f t="shared" si="119"/>
        <v>#DIV/0!</v>
      </c>
      <c r="BV220" t="e">
        <f t="shared" si="120"/>
        <v>#DIV/0!</v>
      </c>
      <c r="BX220" t="e">
        <f t="shared" si="121"/>
        <v>#DIV/0!</v>
      </c>
      <c r="CA220" t="s">
        <v>173</v>
      </c>
      <c r="CB220" t="s">
        <v>173</v>
      </c>
      <c r="CC220" t="s">
        <v>173</v>
      </c>
      <c r="CD220" t="s">
        <v>173</v>
      </c>
      <c r="CE220" t="s">
        <v>173</v>
      </c>
      <c r="CF220">
        <v>0</v>
      </c>
      <c r="CG220">
        <v>0</v>
      </c>
      <c r="CH220" t="s">
        <v>173</v>
      </c>
      <c r="CI220">
        <v>0</v>
      </c>
      <c r="CJ220">
        <v>1.1999999999999999E-3</v>
      </c>
      <c r="CK220">
        <v>0</v>
      </c>
      <c r="CL220">
        <v>0</v>
      </c>
      <c r="CM220">
        <v>0</v>
      </c>
      <c r="CN220">
        <v>0</v>
      </c>
      <c r="CO220" t="s">
        <v>173</v>
      </c>
      <c r="CP220" t="s">
        <v>173</v>
      </c>
      <c r="CQ220" t="s">
        <v>173</v>
      </c>
      <c r="CR220" t="s">
        <v>173</v>
      </c>
      <c r="CS220" t="s">
        <v>173</v>
      </c>
      <c r="CT220" t="s">
        <v>173</v>
      </c>
      <c r="CU220">
        <v>3.3999999999999998E-3</v>
      </c>
      <c r="CV220">
        <v>1.1999999999999999E-3</v>
      </c>
      <c r="CW220">
        <v>1.3100000000000001E-2</v>
      </c>
      <c r="CX220">
        <v>0.19869999999999999</v>
      </c>
      <c r="CY220">
        <v>0.78169999999999995</v>
      </c>
      <c r="CZ220" t="s">
        <v>173</v>
      </c>
      <c r="DA220" t="s">
        <v>173</v>
      </c>
      <c r="DB220" t="s">
        <v>173</v>
      </c>
      <c r="DC220" s="24">
        <f t="shared" si="101"/>
        <v>1.1999999999999999E-3</v>
      </c>
      <c r="DD220" s="24">
        <f t="shared" si="102"/>
        <v>0</v>
      </c>
      <c r="DE220" s="24">
        <f t="shared" si="104"/>
        <v>0</v>
      </c>
      <c r="DG220" s="5" t="e">
        <f t="shared" si="103"/>
        <v>#DIV/0!</v>
      </c>
    </row>
    <row r="221" spans="1:111">
      <c r="B221" s="63" t="s">
        <v>305</v>
      </c>
      <c r="C221" s="63" t="s">
        <v>314</v>
      </c>
      <c r="D221" s="63"/>
      <c r="E221" s="63"/>
      <c r="F221" s="63"/>
      <c r="G221" s="63">
        <v>36.51</v>
      </c>
      <c r="H221" s="63">
        <v>0.56000000000000005</v>
      </c>
      <c r="I221" s="63">
        <v>3.19</v>
      </c>
      <c r="J221" s="63"/>
      <c r="K221" s="63">
        <v>25.81</v>
      </c>
      <c r="L221" s="63"/>
      <c r="M221" s="63">
        <v>0.08</v>
      </c>
      <c r="N221" s="63">
        <v>0.6</v>
      </c>
      <c r="O221" s="63">
        <v>32.229999999999997</v>
      </c>
      <c r="Q221" s="63">
        <v>0.02</v>
      </c>
      <c r="S221" s="63"/>
      <c r="T221" s="63"/>
      <c r="X221" s="63">
        <v>0.03</v>
      </c>
      <c r="BG221">
        <f t="shared" si="105"/>
        <v>0</v>
      </c>
      <c r="BH221">
        <f t="shared" si="106"/>
        <v>0</v>
      </c>
      <c r="BI221">
        <f t="shared" si="107"/>
        <v>0</v>
      </c>
      <c r="BJ221">
        <f t="shared" si="108"/>
        <v>0</v>
      </c>
      <c r="BK221">
        <f t="shared" si="109"/>
        <v>0</v>
      </c>
      <c r="BL221">
        <f t="shared" si="110"/>
        <v>0</v>
      </c>
      <c r="BM221">
        <f t="shared" si="111"/>
        <v>0</v>
      </c>
      <c r="BN221">
        <f t="shared" si="112"/>
        <v>0</v>
      </c>
      <c r="BO221">
        <f t="shared" si="113"/>
        <v>0</v>
      </c>
      <c r="BP221">
        <f t="shared" si="114"/>
        <v>0</v>
      </c>
      <c r="BQ221">
        <f t="shared" si="115"/>
        <v>0</v>
      </c>
      <c r="BR221">
        <f t="shared" si="116"/>
        <v>0</v>
      </c>
      <c r="BS221">
        <f t="shared" si="117"/>
        <v>0</v>
      </c>
      <c r="BT221">
        <f t="shared" si="118"/>
        <v>0</v>
      </c>
      <c r="BU221" t="e">
        <f t="shared" si="119"/>
        <v>#DIV/0!</v>
      </c>
      <c r="BV221" t="e">
        <f t="shared" si="120"/>
        <v>#DIV/0!</v>
      </c>
      <c r="BX221" t="e">
        <f t="shared" si="121"/>
        <v>#DIV/0!</v>
      </c>
      <c r="CA221" t="s">
        <v>173</v>
      </c>
      <c r="CB221" t="s">
        <v>173</v>
      </c>
      <c r="CC221" t="s">
        <v>173</v>
      </c>
      <c r="CD221" t="s">
        <v>173</v>
      </c>
      <c r="CE221" t="s">
        <v>173</v>
      </c>
      <c r="CF221">
        <v>0</v>
      </c>
      <c r="CG221">
        <v>0</v>
      </c>
      <c r="CH221" t="s">
        <v>173</v>
      </c>
      <c r="CI221">
        <v>0</v>
      </c>
      <c r="CJ221">
        <v>3.0999999999999999E-3</v>
      </c>
      <c r="CK221">
        <v>0</v>
      </c>
      <c r="CL221">
        <v>0</v>
      </c>
      <c r="CM221">
        <v>0</v>
      </c>
      <c r="CN221">
        <v>0</v>
      </c>
      <c r="CO221" t="s">
        <v>173</v>
      </c>
      <c r="CP221" t="s">
        <v>173</v>
      </c>
      <c r="CQ221" t="s">
        <v>173</v>
      </c>
      <c r="CR221" t="s">
        <v>173</v>
      </c>
      <c r="CS221" t="s">
        <v>173</v>
      </c>
      <c r="CT221" t="s">
        <v>173</v>
      </c>
      <c r="CU221">
        <v>1.4E-2</v>
      </c>
      <c r="CV221">
        <v>3.5999999999999999E-3</v>
      </c>
      <c r="CW221">
        <v>4.0500000000000001E-2</v>
      </c>
      <c r="CX221">
        <v>0.11890000000000001</v>
      </c>
      <c r="CY221">
        <v>0.81759999999999999</v>
      </c>
      <c r="CZ221" t="s">
        <v>173</v>
      </c>
      <c r="DA221" t="s">
        <v>173</v>
      </c>
      <c r="DB221" t="s">
        <v>173</v>
      </c>
      <c r="DC221" s="24">
        <f t="shared" si="101"/>
        <v>3.0999999999999999E-3</v>
      </c>
      <c r="DD221" s="24">
        <f t="shared" si="102"/>
        <v>0</v>
      </c>
      <c r="DE221" s="24">
        <f t="shared" si="104"/>
        <v>0</v>
      </c>
      <c r="DG221" s="5" t="e">
        <f t="shared" si="103"/>
        <v>#DIV/0!</v>
      </c>
    </row>
    <row r="222" spans="1:111" ht="15" thickBot="1">
      <c r="BG222">
        <f t="shared" si="105"/>
        <v>0</v>
      </c>
      <c r="BH222">
        <f t="shared" si="106"/>
        <v>0</v>
      </c>
      <c r="BI222">
        <f t="shared" si="107"/>
        <v>0</v>
      </c>
      <c r="BJ222">
        <f t="shared" si="108"/>
        <v>0</v>
      </c>
      <c r="BK222">
        <f t="shared" si="109"/>
        <v>0</v>
      </c>
      <c r="BL222">
        <f t="shared" si="110"/>
        <v>0</v>
      </c>
      <c r="BM222">
        <f t="shared" si="111"/>
        <v>0</v>
      </c>
      <c r="BN222">
        <f t="shared" si="112"/>
        <v>0</v>
      </c>
      <c r="BO222">
        <f t="shared" si="113"/>
        <v>0</v>
      </c>
      <c r="BP222">
        <f t="shared" si="114"/>
        <v>0</v>
      </c>
      <c r="BQ222">
        <f t="shared" si="115"/>
        <v>0</v>
      </c>
      <c r="BR222">
        <f t="shared" si="116"/>
        <v>0</v>
      </c>
      <c r="BS222">
        <f t="shared" si="117"/>
        <v>0</v>
      </c>
      <c r="BT222">
        <f t="shared" si="118"/>
        <v>0</v>
      </c>
      <c r="BU222" t="e">
        <f t="shared" si="119"/>
        <v>#DIV/0!</v>
      </c>
      <c r="BV222" t="e">
        <f t="shared" si="120"/>
        <v>#DIV/0!</v>
      </c>
      <c r="BX222" t="e">
        <f t="shared" si="121"/>
        <v>#DIV/0!</v>
      </c>
      <c r="CA222" t="s">
        <v>173</v>
      </c>
      <c r="CB222" t="s">
        <v>173</v>
      </c>
      <c r="CC222" t="s">
        <v>173</v>
      </c>
      <c r="CD222" t="s">
        <v>173</v>
      </c>
      <c r="CE222" t="s">
        <v>173</v>
      </c>
      <c r="CF222">
        <v>0</v>
      </c>
      <c r="CG222">
        <v>0</v>
      </c>
      <c r="CH222" t="s">
        <v>173</v>
      </c>
      <c r="CI222">
        <v>0</v>
      </c>
      <c r="CJ222">
        <v>1.1999999999999999E-3</v>
      </c>
      <c r="CK222">
        <v>3.2199999999999999E-2</v>
      </c>
      <c r="CL222">
        <v>0</v>
      </c>
      <c r="CM222">
        <v>0</v>
      </c>
      <c r="CN222">
        <v>0</v>
      </c>
      <c r="CO222" t="s">
        <v>173</v>
      </c>
      <c r="CP222" t="s">
        <v>173</v>
      </c>
      <c r="CQ222" t="s">
        <v>173</v>
      </c>
      <c r="CR222" t="s">
        <v>173</v>
      </c>
      <c r="CS222" t="s">
        <v>173</v>
      </c>
      <c r="CT222" t="s">
        <v>173</v>
      </c>
      <c r="CU222">
        <v>1.3899999999999999E-2</v>
      </c>
      <c r="CV222">
        <v>3.3E-3</v>
      </c>
      <c r="CW222">
        <v>3.7699999999999997E-2</v>
      </c>
      <c r="CX222">
        <v>9.8299999999999998E-2</v>
      </c>
      <c r="CY222">
        <v>0.81340000000000001</v>
      </c>
      <c r="CZ222" t="s">
        <v>173</v>
      </c>
      <c r="DA222" t="s">
        <v>173</v>
      </c>
      <c r="DB222" t="s">
        <v>173</v>
      </c>
      <c r="DC222" s="24">
        <f t="shared" si="101"/>
        <v>1.1999999999999999E-3</v>
      </c>
      <c r="DD222" s="24">
        <f t="shared" si="102"/>
        <v>0</v>
      </c>
      <c r="DE222" s="24">
        <f t="shared" si="104"/>
        <v>3.2199999999999999E-2</v>
      </c>
      <c r="DG222" s="5" t="e">
        <f t="shared" si="103"/>
        <v>#DIV/0!</v>
      </c>
    </row>
    <row r="223" spans="1:111" ht="15" thickBot="1">
      <c r="A223" s="65"/>
      <c r="B223" s="78" t="s">
        <v>399</v>
      </c>
      <c r="C223" s="78"/>
      <c r="D223" s="78"/>
      <c r="E223" s="78"/>
      <c r="F223" s="78"/>
      <c r="G223" s="78"/>
      <c r="H223" s="78"/>
      <c r="I223" s="78"/>
      <c r="J223" s="78"/>
      <c r="K223" s="78"/>
      <c r="L223" s="74"/>
      <c r="N223" s="78"/>
      <c r="O223" s="78"/>
      <c r="P223" s="78"/>
      <c r="Q223" s="78"/>
      <c r="R223" s="78"/>
      <c r="S223" s="78"/>
      <c r="BG223">
        <f t="shared" si="105"/>
        <v>0</v>
      </c>
      <c r="BH223">
        <f t="shared" si="106"/>
        <v>0</v>
      </c>
      <c r="BI223">
        <f t="shared" si="107"/>
        <v>0</v>
      </c>
      <c r="BJ223">
        <f t="shared" si="108"/>
        <v>0</v>
      </c>
      <c r="BK223">
        <f t="shared" si="109"/>
        <v>0</v>
      </c>
      <c r="BL223">
        <f t="shared" si="110"/>
        <v>0</v>
      </c>
      <c r="BM223">
        <f t="shared" si="111"/>
        <v>0</v>
      </c>
      <c r="BN223">
        <f t="shared" si="112"/>
        <v>0</v>
      </c>
      <c r="BO223">
        <f t="shared" si="113"/>
        <v>0</v>
      </c>
      <c r="BP223">
        <f t="shared" si="114"/>
        <v>0</v>
      </c>
      <c r="BQ223">
        <f t="shared" si="115"/>
        <v>0</v>
      </c>
      <c r="BR223">
        <f t="shared" si="116"/>
        <v>0</v>
      </c>
      <c r="BS223">
        <f t="shared" si="117"/>
        <v>0</v>
      </c>
      <c r="BT223">
        <f t="shared" si="118"/>
        <v>0</v>
      </c>
      <c r="BU223" t="e">
        <f t="shared" si="119"/>
        <v>#DIV/0!</v>
      </c>
      <c r="BV223" t="e">
        <f t="shared" si="120"/>
        <v>#DIV/0!</v>
      </c>
      <c r="BX223" t="e">
        <f t="shared" si="121"/>
        <v>#DIV/0!</v>
      </c>
      <c r="CJ223">
        <v>0</v>
      </c>
      <c r="CK223">
        <v>0</v>
      </c>
      <c r="CL223">
        <v>0</v>
      </c>
      <c r="CM223">
        <v>0</v>
      </c>
      <c r="CN223">
        <v>0</v>
      </c>
      <c r="CX223">
        <v>0</v>
      </c>
      <c r="DC223" s="24">
        <f t="shared" si="101"/>
        <v>0</v>
      </c>
      <c r="DD223" s="24">
        <f t="shared" si="102"/>
        <v>0</v>
      </c>
      <c r="DE223" s="24">
        <f t="shared" si="104"/>
        <v>0</v>
      </c>
      <c r="DG223" s="5" t="e">
        <f t="shared" si="103"/>
        <v>#DIV/0!</v>
      </c>
    </row>
    <row r="224" spans="1:111" ht="15" thickBot="1">
      <c r="A224" s="78" t="s">
        <v>321</v>
      </c>
      <c r="B224" s="64" t="s">
        <v>323</v>
      </c>
      <c r="C224" s="64" t="s">
        <v>327</v>
      </c>
      <c r="D224" s="64" t="s">
        <v>331</v>
      </c>
      <c r="E224" s="64" t="s">
        <v>128</v>
      </c>
      <c r="F224" s="64" t="s">
        <v>333</v>
      </c>
      <c r="G224" s="19">
        <v>29.86</v>
      </c>
      <c r="H224" s="19">
        <v>9.16</v>
      </c>
      <c r="I224" s="19">
        <v>0.04</v>
      </c>
      <c r="K224" s="19">
        <v>14.69</v>
      </c>
      <c r="L224" s="19"/>
      <c r="M224" s="19">
        <v>3.04</v>
      </c>
      <c r="N224" s="19">
        <v>0</v>
      </c>
      <c r="O224" s="19">
        <v>32.14</v>
      </c>
      <c r="P224" s="64"/>
      <c r="Q224" s="19">
        <v>0.22</v>
      </c>
      <c r="R224" s="64"/>
      <c r="S224" s="19">
        <v>0.03</v>
      </c>
      <c r="T224" s="19">
        <v>0</v>
      </c>
      <c r="X224" s="19">
        <v>8.6999999999999993</v>
      </c>
      <c r="BG224">
        <f t="shared" si="105"/>
        <v>0</v>
      </c>
      <c r="BH224">
        <f t="shared" si="106"/>
        <v>0</v>
      </c>
      <c r="BI224">
        <f t="shared" si="107"/>
        <v>0</v>
      </c>
      <c r="BJ224">
        <f t="shared" si="108"/>
        <v>0</v>
      </c>
      <c r="BK224">
        <f t="shared" si="109"/>
        <v>0</v>
      </c>
      <c r="BL224">
        <f t="shared" si="110"/>
        <v>0</v>
      </c>
      <c r="BM224">
        <f t="shared" si="111"/>
        <v>0</v>
      </c>
      <c r="BN224">
        <f t="shared" si="112"/>
        <v>0</v>
      </c>
      <c r="BO224">
        <f t="shared" si="113"/>
        <v>0</v>
      </c>
      <c r="BP224">
        <f t="shared" si="114"/>
        <v>0</v>
      </c>
      <c r="BQ224">
        <f t="shared" si="115"/>
        <v>0</v>
      </c>
      <c r="BR224">
        <f t="shared" si="116"/>
        <v>0</v>
      </c>
      <c r="BS224">
        <f t="shared" si="117"/>
        <v>0</v>
      </c>
      <c r="BT224">
        <f t="shared" si="118"/>
        <v>0</v>
      </c>
      <c r="BU224" t="e">
        <f t="shared" si="119"/>
        <v>#DIV/0!</v>
      </c>
      <c r="BV224" t="e">
        <f t="shared" si="120"/>
        <v>#DIV/0!</v>
      </c>
      <c r="BX224" t="e">
        <f t="shared" si="121"/>
        <v>#DIV/0!</v>
      </c>
      <c r="CF224">
        <v>2E-3</v>
      </c>
      <c r="CG224">
        <v>0.18099999999999999</v>
      </c>
      <c r="CH224">
        <v>0</v>
      </c>
      <c r="CI224">
        <v>2.8799999999999999E-2</v>
      </c>
      <c r="CJ224">
        <v>0</v>
      </c>
      <c r="CK224">
        <v>0.1011</v>
      </c>
      <c r="CL224">
        <v>1.84E-2</v>
      </c>
      <c r="CM224">
        <v>0.39100000000000001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0.26960000000000001</v>
      </c>
      <c r="CZ224">
        <v>0</v>
      </c>
      <c r="DA224">
        <v>0</v>
      </c>
      <c r="DB224">
        <v>0</v>
      </c>
      <c r="DC224" s="24">
        <f t="shared" si="101"/>
        <v>2.8799999999999999E-2</v>
      </c>
      <c r="DD224" s="24">
        <f t="shared" si="102"/>
        <v>0.183</v>
      </c>
      <c r="DE224" s="24">
        <f t="shared" si="104"/>
        <v>0.49209999999999998</v>
      </c>
      <c r="DG224" s="5" t="e">
        <f t="shared" si="103"/>
        <v>#DIV/0!</v>
      </c>
    </row>
    <row r="225" spans="1:111" ht="15" thickBot="1">
      <c r="A225" s="78"/>
      <c r="B225" s="64" t="s">
        <v>323</v>
      </c>
      <c r="C225" s="64" t="s">
        <v>327</v>
      </c>
      <c r="D225" s="64" t="s">
        <v>331</v>
      </c>
      <c r="E225" s="64" t="s">
        <v>129</v>
      </c>
      <c r="F225" s="66" t="s">
        <v>333</v>
      </c>
      <c r="G225" s="19">
        <v>30.07</v>
      </c>
      <c r="H225" s="19">
        <v>9.98</v>
      </c>
      <c r="I225" s="19">
        <v>0.02</v>
      </c>
      <c r="K225" s="19">
        <v>15.32</v>
      </c>
      <c r="L225" s="19"/>
      <c r="M225" s="19">
        <v>2.79</v>
      </c>
      <c r="N225" s="19">
        <v>0.1</v>
      </c>
      <c r="O225" s="19">
        <v>32.69</v>
      </c>
      <c r="P225" s="64"/>
      <c r="Q225" s="19">
        <v>0.14000000000000001</v>
      </c>
      <c r="R225" s="64"/>
      <c r="S225" s="19">
        <v>0</v>
      </c>
      <c r="T225" s="19">
        <v>0.01</v>
      </c>
      <c r="X225" s="19">
        <v>6.06</v>
      </c>
      <c r="BG225">
        <f t="shared" si="105"/>
        <v>0</v>
      </c>
      <c r="BH225">
        <f t="shared" si="106"/>
        <v>0</v>
      </c>
      <c r="BI225">
        <f t="shared" si="107"/>
        <v>0</v>
      </c>
      <c r="BJ225">
        <f t="shared" si="108"/>
        <v>0</v>
      </c>
      <c r="BK225">
        <f t="shared" si="109"/>
        <v>0</v>
      </c>
      <c r="BL225">
        <f t="shared" si="110"/>
        <v>0</v>
      </c>
      <c r="BM225">
        <f t="shared" si="111"/>
        <v>0</v>
      </c>
      <c r="BN225">
        <f t="shared" si="112"/>
        <v>0</v>
      </c>
      <c r="BO225">
        <f t="shared" si="113"/>
        <v>0</v>
      </c>
      <c r="BP225">
        <f t="shared" si="114"/>
        <v>0</v>
      </c>
      <c r="BQ225">
        <f t="shared" si="115"/>
        <v>0</v>
      </c>
      <c r="BR225">
        <f t="shared" si="116"/>
        <v>0</v>
      </c>
      <c r="BS225">
        <f t="shared" si="117"/>
        <v>0</v>
      </c>
      <c r="BT225">
        <f t="shared" si="118"/>
        <v>0</v>
      </c>
      <c r="BU225" t="e">
        <f t="shared" si="119"/>
        <v>#DIV/0!</v>
      </c>
      <c r="BV225" t="e">
        <f t="shared" si="120"/>
        <v>#DIV/0!</v>
      </c>
      <c r="BX225" t="e">
        <f t="shared" si="121"/>
        <v>#DIV/0!</v>
      </c>
      <c r="CF225">
        <v>1E-3</v>
      </c>
      <c r="CG225">
        <v>0.12620000000000001</v>
      </c>
      <c r="CH225">
        <v>0</v>
      </c>
      <c r="CI225">
        <v>7.8200000000000006E-2</v>
      </c>
      <c r="CJ225">
        <v>0</v>
      </c>
      <c r="CK225">
        <v>6.2E-2</v>
      </c>
      <c r="CL225">
        <v>1.17E-2</v>
      </c>
      <c r="CM225">
        <v>0.35809999999999997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0.31619999999999998</v>
      </c>
      <c r="CZ225">
        <v>0</v>
      </c>
      <c r="DA225">
        <v>0</v>
      </c>
      <c r="DB225">
        <v>0</v>
      </c>
      <c r="DC225" s="24">
        <f t="shared" si="101"/>
        <v>7.8200000000000006E-2</v>
      </c>
      <c r="DD225" s="24">
        <f t="shared" si="102"/>
        <v>0.12720000000000001</v>
      </c>
      <c r="DE225" s="24">
        <f t="shared" si="104"/>
        <v>0.42009999999999997</v>
      </c>
      <c r="DG225" s="5" t="e">
        <f t="shared" si="103"/>
        <v>#DIV/0!</v>
      </c>
    </row>
    <row r="226" spans="1:111" ht="15" thickBot="1">
      <c r="A226" s="78"/>
      <c r="B226" s="64" t="s">
        <v>324</v>
      </c>
      <c r="C226" s="64" t="s">
        <v>327</v>
      </c>
      <c r="D226" s="64" t="s">
        <v>331</v>
      </c>
      <c r="E226" s="64" t="s">
        <v>137</v>
      </c>
      <c r="F226" s="66" t="s">
        <v>333</v>
      </c>
      <c r="G226" s="19">
        <v>29.7</v>
      </c>
      <c r="H226" s="19">
        <v>16.739999999999998</v>
      </c>
      <c r="I226" s="19">
        <v>0</v>
      </c>
      <c r="K226" s="19">
        <v>12.74</v>
      </c>
      <c r="L226" s="19"/>
      <c r="M226" s="19">
        <v>3</v>
      </c>
      <c r="N226" s="19">
        <v>0.13</v>
      </c>
      <c r="O226" s="19">
        <v>33.56</v>
      </c>
      <c r="P226" s="64"/>
      <c r="Q226" s="19">
        <v>0.16</v>
      </c>
      <c r="R226" s="64"/>
      <c r="S226" s="19">
        <v>0</v>
      </c>
      <c r="T226" s="19">
        <v>0.03</v>
      </c>
      <c r="X226" s="19">
        <v>0.69</v>
      </c>
      <c r="BG226">
        <f t="shared" si="105"/>
        <v>0</v>
      </c>
      <c r="BH226">
        <f t="shared" si="106"/>
        <v>0</v>
      </c>
      <c r="BI226">
        <f t="shared" si="107"/>
        <v>0</v>
      </c>
      <c r="BJ226">
        <f t="shared" si="108"/>
        <v>0</v>
      </c>
      <c r="BK226">
        <f t="shared" si="109"/>
        <v>0</v>
      </c>
      <c r="BL226">
        <f t="shared" si="110"/>
        <v>0</v>
      </c>
      <c r="BM226">
        <f t="shared" si="111"/>
        <v>0</v>
      </c>
      <c r="BN226">
        <f t="shared" si="112"/>
        <v>0</v>
      </c>
      <c r="BO226">
        <f t="shared" si="113"/>
        <v>0</v>
      </c>
      <c r="BP226">
        <f t="shared" si="114"/>
        <v>0</v>
      </c>
      <c r="BQ226">
        <f t="shared" si="115"/>
        <v>0</v>
      </c>
      <c r="BR226">
        <f t="shared" si="116"/>
        <v>0</v>
      </c>
      <c r="BS226">
        <f t="shared" si="117"/>
        <v>0</v>
      </c>
      <c r="BT226">
        <f t="shared" si="118"/>
        <v>0</v>
      </c>
      <c r="BU226" t="e">
        <f t="shared" si="119"/>
        <v>#DIV/0!</v>
      </c>
      <c r="BV226" t="e">
        <f t="shared" si="120"/>
        <v>#DIV/0!</v>
      </c>
      <c r="BX226" t="e">
        <f t="shared" si="121"/>
        <v>#DIV/0!</v>
      </c>
      <c r="CF226">
        <v>0</v>
      </c>
      <c r="CG226">
        <v>1.43E-2</v>
      </c>
      <c r="CH226">
        <v>0</v>
      </c>
      <c r="CI226">
        <v>0.22370000000000001</v>
      </c>
      <c r="CJ226">
        <v>0</v>
      </c>
      <c r="CK226">
        <v>0.1249</v>
      </c>
      <c r="CL226">
        <v>1.32E-2</v>
      </c>
      <c r="CM226">
        <v>0.38009999999999999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0.15229999999999999</v>
      </c>
      <c r="CZ226">
        <v>0</v>
      </c>
      <c r="DA226">
        <v>0</v>
      </c>
      <c r="DB226">
        <v>0</v>
      </c>
      <c r="DC226" s="24">
        <f t="shared" si="101"/>
        <v>0.22370000000000001</v>
      </c>
      <c r="DD226" s="24">
        <f t="shared" si="102"/>
        <v>1.43E-2</v>
      </c>
      <c r="DE226" s="24">
        <f t="shared" si="104"/>
        <v>0.505</v>
      </c>
      <c r="DG226" s="5" t="e">
        <f t="shared" si="103"/>
        <v>#DIV/0!</v>
      </c>
    </row>
    <row r="227" spans="1:111" ht="15" thickBot="1">
      <c r="A227" s="78"/>
      <c r="B227" s="64" t="s">
        <v>323</v>
      </c>
      <c r="C227" s="64" t="s">
        <v>328</v>
      </c>
      <c r="D227" s="64" t="s">
        <v>125</v>
      </c>
      <c r="E227" s="64" t="s">
        <v>122</v>
      </c>
      <c r="F227" s="66" t="s">
        <v>333</v>
      </c>
      <c r="G227" s="19">
        <v>25.01</v>
      </c>
      <c r="H227" s="19">
        <v>12.57</v>
      </c>
      <c r="I227" s="19">
        <v>1.01</v>
      </c>
      <c r="K227" s="19">
        <v>14.98</v>
      </c>
      <c r="L227" s="19"/>
      <c r="M227" s="19">
        <v>2.97</v>
      </c>
      <c r="N227" s="19">
        <v>0.23</v>
      </c>
      <c r="O227" s="19">
        <v>29.95</v>
      </c>
      <c r="P227" s="64"/>
      <c r="Q227" s="19">
        <v>0.17</v>
      </c>
      <c r="R227" s="64"/>
      <c r="S227" s="19">
        <v>0.06</v>
      </c>
      <c r="T227" s="19">
        <v>0.09</v>
      </c>
      <c r="X227" s="19">
        <v>9.99</v>
      </c>
      <c r="BG227">
        <f t="shared" si="105"/>
        <v>0</v>
      </c>
      <c r="BH227">
        <f t="shared" si="106"/>
        <v>0</v>
      </c>
      <c r="BI227">
        <f t="shared" si="107"/>
        <v>0</v>
      </c>
      <c r="BJ227">
        <f t="shared" si="108"/>
        <v>0</v>
      </c>
      <c r="BK227">
        <f t="shared" si="109"/>
        <v>0</v>
      </c>
      <c r="BL227">
        <f t="shared" si="110"/>
        <v>0</v>
      </c>
      <c r="BM227">
        <f t="shared" si="111"/>
        <v>0</v>
      </c>
      <c r="BN227">
        <f t="shared" si="112"/>
        <v>0</v>
      </c>
      <c r="BO227">
        <f t="shared" si="113"/>
        <v>0</v>
      </c>
      <c r="BP227">
        <f t="shared" si="114"/>
        <v>0</v>
      </c>
      <c r="BQ227">
        <f t="shared" si="115"/>
        <v>0</v>
      </c>
      <c r="BR227">
        <f t="shared" si="116"/>
        <v>0</v>
      </c>
      <c r="BS227">
        <f t="shared" si="117"/>
        <v>0</v>
      </c>
      <c r="BT227">
        <f t="shared" si="118"/>
        <v>0</v>
      </c>
      <c r="BU227" t="e">
        <f t="shared" si="119"/>
        <v>#DIV/0!</v>
      </c>
      <c r="BV227" t="e">
        <f t="shared" si="120"/>
        <v>#DIV/0!</v>
      </c>
      <c r="BX227" t="e">
        <f t="shared" si="121"/>
        <v>#DIV/0!</v>
      </c>
      <c r="CF227">
        <v>5.28E-2</v>
      </c>
      <c r="CG227">
        <v>0.16339999999999999</v>
      </c>
      <c r="CH227">
        <v>0</v>
      </c>
      <c r="CI227">
        <v>0.1734</v>
      </c>
      <c r="CJ227">
        <v>0</v>
      </c>
      <c r="CK227">
        <v>0.17460000000000001</v>
      </c>
      <c r="CL227">
        <v>1.46E-2</v>
      </c>
      <c r="CM227">
        <v>0.28899999999999998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9.1600000000000001E-2</v>
      </c>
      <c r="CZ227">
        <v>5.7999999999999996E-3</v>
      </c>
      <c r="DA227">
        <v>0</v>
      </c>
      <c r="DB227">
        <v>3.4700000000000002E-2</v>
      </c>
      <c r="DC227" s="24">
        <f t="shared" si="101"/>
        <v>0.1734</v>
      </c>
      <c r="DD227" s="24">
        <f t="shared" si="102"/>
        <v>0.2162</v>
      </c>
      <c r="DE227" s="24">
        <f t="shared" si="104"/>
        <v>0.46360000000000001</v>
      </c>
      <c r="DG227" s="5" t="e">
        <f t="shared" si="103"/>
        <v>#DIV/0!</v>
      </c>
    </row>
    <row r="228" spans="1:111" ht="15" thickBot="1">
      <c r="A228" s="78"/>
      <c r="B228" s="64" t="s">
        <v>323</v>
      </c>
      <c r="C228" s="64" t="s">
        <v>328</v>
      </c>
      <c r="D228" s="64" t="s">
        <v>125</v>
      </c>
      <c r="E228" s="64" t="s">
        <v>123</v>
      </c>
      <c r="F228" s="66" t="s">
        <v>333</v>
      </c>
      <c r="G228" s="19">
        <v>27.52</v>
      </c>
      <c r="H228" s="19">
        <v>12.51</v>
      </c>
      <c r="I228" s="19">
        <v>0.01</v>
      </c>
      <c r="K228" s="19">
        <v>16.649999999999999</v>
      </c>
      <c r="L228" s="19"/>
      <c r="M228" s="19">
        <v>1.88</v>
      </c>
      <c r="N228" s="19">
        <v>0.38</v>
      </c>
      <c r="O228" s="19">
        <v>31.34</v>
      </c>
      <c r="P228" s="19"/>
      <c r="Q228" s="19">
        <v>0.36</v>
      </c>
      <c r="R228" s="19"/>
      <c r="S228" s="19">
        <v>0</v>
      </c>
      <c r="T228" s="19">
        <v>0.11</v>
      </c>
      <c r="X228" s="19">
        <v>5.9</v>
      </c>
      <c r="BG228">
        <f t="shared" si="105"/>
        <v>0</v>
      </c>
      <c r="BH228">
        <f t="shared" si="106"/>
        <v>0</v>
      </c>
      <c r="BI228">
        <f t="shared" si="107"/>
        <v>0</v>
      </c>
      <c r="BJ228">
        <f t="shared" si="108"/>
        <v>0</v>
      </c>
      <c r="BK228">
        <f t="shared" si="109"/>
        <v>0</v>
      </c>
      <c r="BL228">
        <f t="shared" si="110"/>
        <v>0</v>
      </c>
      <c r="BM228">
        <f t="shared" si="111"/>
        <v>0</v>
      </c>
      <c r="BN228">
        <f t="shared" si="112"/>
        <v>0</v>
      </c>
      <c r="BO228">
        <f t="shared" si="113"/>
        <v>0</v>
      </c>
      <c r="BP228">
        <f t="shared" si="114"/>
        <v>0</v>
      </c>
      <c r="BQ228">
        <f t="shared" si="115"/>
        <v>0</v>
      </c>
      <c r="BR228">
        <f t="shared" si="116"/>
        <v>0</v>
      </c>
      <c r="BS228">
        <f t="shared" si="117"/>
        <v>0</v>
      </c>
      <c r="BT228">
        <f t="shared" si="118"/>
        <v>0</v>
      </c>
      <c r="BU228" t="e">
        <f t="shared" si="119"/>
        <v>#DIV/0!</v>
      </c>
      <c r="BV228" t="e">
        <f t="shared" si="120"/>
        <v>#DIV/0!</v>
      </c>
      <c r="BX228" t="e">
        <f t="shared" si="121"/>
        <v>#DIV/0!</v>
      </c>
      <c r="CF228">
        <v>5.0000000000000001E-4</v>
      </c>
      <c r="CG228">
        <v>0.12570000000000001</v>
      </c>
      <c r="CH228">
        <v>0</v>
      </c>
      <c r="CI228">
        <v>0.16600000000000001</v>
      </c>
      <c r="CJ228">
        <v>0</v>
      </c>
      <c r="CK228">
        <v>0.15</v>
      </c>
      <c r="CL228">
        <v>3.0599999999999999E-2</v>
      </c>
      <c r="CM228">
        <v>0.246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0.24429999999999999</v>
      </c>
      <c r="CZ228">
        <v>0</v>
      </c>
      <c r="DA228">
        <v>0</v>
      </c>
      <c r="DB228">
        <v>0</v>
      </c>
      <c r="DC228" s="24">
        <f t="shared" si="101"/>
        <v>0.16600000000000001</v>
      </c>
      <c r="DD228" s="24">
        <f t="shared" si="102"/>
        <v>0.12620000000000001</v>
      </c>
      <c r="DE228" s="24">
        <f t="shared" si="104"/>
        <v>0.39600000000000002</v>
      </c>
      <c r="DG228" s="5" t="e">
        <f t="shared" si="103"/>
        <v>#DIV/0!</v>
      </c>
    </row>
    <row r="229" spans="1:111" ht="15" thickBot="1">
      <c r="A229" s="78" t="s">
        <v>322</v>
      </c>
      <c r="B229" s="64" t="s">
        <v>323</v>
      </c>
      <c r="C229" s="64" t="s">
        <v>329</v>
      </c>
      <c r="D229" s="64" t="s">
        <v>127</v>
      </c>
      <c r="E229" s="64" t="s">
        <v>122</v>
      </c>
      <c r="F229" s="66" t="s">
        <v>333</v>
      </c>
      <c r="G229" s="19">
        <v>26.99</v>
      </c>
      <c r="H229" s="19">
        <v>18.66</v>
      </c>
      <c r="I229" s="19">
        <v>0.02</v>
      </c>
      <c r="K229" s="19">
        <v>13.63</v>
      </c>
      <c r="L229" s="19"/>
      <c r="M229" s="19">
        <v>2.0499999999999998</v>
      </c>
      <c r="N229" s="19">
        <v>0.23</v>
      </c>
      <c r="O229" s="19">
        <v>30.89</v>
      </c>
      <c r="P229" s="19"/>
      <c r="Q229" s="19">
        <v>0.91</v>
      </c>
      <c r="R229" s="19"/>
      <c r="S229" s="19">
        <v>0</v>
      </c>
      <c r="T229" s="19">
        <v>0.02</v>
      </c>
      <c r="X229" s="19">
        <v>4.25</v>
      </c>
      <c r="BG229">
        <f t="shared" si="105"/>
        <v>0</v>
      </c>
      <c r="BH229">
        <f t="shared" si="106"/>
        <v>0</v>
      </c>
      <c r="BI229">
        <f t="shared" si="107"/>
        <v>0</v>
      </c>
      <c r="BJ229">
        <f t="shared" si="108"/>
        <v>0</v>
      </c>
      <c r="BK229">
        <f t="shared" si="109"/>
        <v>0</v>
      </c>
      <c r="BL229">
        <f t="shared" si="110"/>
        <v>0</v>
      </c>
      <c r="BM229">
        <f t="shared" si="111"/>
        <v>0</v>
      </c>
      <c r="BN229">
        <f t="shared" si="112"/>
        <v>0</v>
      </c>
      <c r="BO229">
        <f t="shared" si="113"/>
        <v>0</v>
      </c>
      <c r="BP229">
        <f t="shared" si="114"/>
        <v>0</v>
      </c>
      <c r="BQ229">
        <f t="shared" si="115"/>
        <v>0</v>
      </c>
      <c r="BR229">
        <f t="shared" si="116"/>
        <v>0</v>
      </c>
      <c r="BS229">
        <f t="shared" si="117"/>
        <v>0</v>
      </c>
      <c r="BT229">
        <f t="shared" si="118"/>
        <v>0</v>
      </c>
      <c r="BU229" t="e">
        <f t="shared" si="119"/>
        <v>#DIV/0!</v>
      </c>
      <c r="BV229" t="e">
        <f t="shared" si="120"/>
        <v>#DIV/0!</v>
      </c>
      <c r="BX229" t="e">
        <f t="shared" si="121"/>
        <v>#DIV/0!</v>
      </c>
      <c r="CF229">
        <v>1E-3</v>
      </c>
      <c r="CG229">
        <v>8.8499999999999995E-2</v>
      </c>
      <c r="CH229">
        <v>0</v>
      </c>
      <c r="CI229">
        <v>0.24510000000000001</v>
      </c>
      <c r="CJ229">
        <v>0</v>
      </c>
      <c r="CK229">
        <v>0.27839999999999998</v>
      </c>
      <c r="CL229">
        <v>7.6200000000000004E-2</v>
      </c>
      <c r="CM229">
        <v>0.26390000000000002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1.95E-2</v>
      </c>
      <c r="CZ229">
        <v>0</v>
      </c>
      <c r="DA229">
        <v>0</v>
      </c>
      <c r="DB229">
        <v>0</v>
      </c>
      <c r="DC229" s="24">
        <f t="shared" si="101"/>
        <v>0.24510000000000001</v>
      </c>
      <c r="DD229" s="24">
        <f t="shared" si="102"/>
        <v>8.9499999999999996E-2</v>
      </c>
      <c r="DE229" s="24">
        <f t="shared" si="104"/>
        <v>0.5423</v>
      </c>
      <c r="DG229" s="5" t="e">
        <f t="shared" si="103"/>
        <v>#DIV/0!</v>
      </c>
    </row>
    <row r="230" spans="1:111" ht="15" thickBot="1">
      <c r="A230" s="78"/>
      <c r="B230" s="64" t="s">
        <v>325</v>
      </c>
      <c r="C230" s="64" t="s">
        <v>329</v>
      </c>
      <c r="D230" s="64" t="s">
        <v>121</v>
      </c>
      <c r="E230" s="64" t="s">
        <v>122</v>
      </c>
      <c r="F230" s="66" t="s">
        <v>333</v>
      </c>
      <c r="G230" s="19">
        <v>25.42</v>
      </c>
      <c r="H230" s="19">
        <v>9.8699999999999992</v>
      </c>
      <c r="I230" s="19">
        <v>0.04</v>
      </c>
      <c r="K230" s="19">
        <v>12.74</v>
      </c>
      <c r="L230" s="19"/>
      <c r="M230" s="19">
        <v>2.2799999999999998</v>
      </c>
      <c r="N230" s="19">
        <v>0.21</v>
      </c>
      <c r="O230" s="19">
        <v>27.78</v>
      </c>
      <c r="P230" s="19"/>
      <c r="Q230" s="19">
        <v>1.6</v>
      </c>
      <c r="R230" s="19"/>
      <c r="S230" s="19">
        <v>0.08</v>
      </c>
      <c r="T230" s="19">
        <v>0.04</v>
      </c>
      <c r="X230" s="19">
        <v>17.21</v>
      </c>
      <c r="BG230">
        <f t="shared" si="105"/>
        <v>0</v>
      </c>
      <c r="BH230">
        <f t="shared" si="106"/>
        <v>0</v>
      </c>
      <c r="BI230">
        <f t="shared" si="107"/>
        <v>0</v>
      </c>
      <c r="BJ230">
        <f t="shared" si="108"/>
        <v>0</v>
      </c>
      <c r="BK230">
        <f t="shared" si="109"/>
        <v>0</v>
      </c>
      <c r="BL230">
        <f t="shared" si="110"/>
        <v>0</v>
      </c>
      <c r="BM230">
        <f t="shared" si="111"/>
        <v>0</v>
      </c>
      <c r="BN230">
        <f t="shared" si="112"/>
        <v>0</v>
      </c>
      <c r="BO230">
        <f t="shared" si="113"/>
        <v>0</v>
      </c>
      <c r="BP230">
        <f t="shared" si="114"/>
        <v>0</v>
      </c>
      <c r="BQ230">
        <f t="shared" si="115"/>
        <v>0</v>
      </c>
      <c r="BR230">
        <f t="shared" si="116"/>
        <v>0</v>
      </c>
      <c r="BS230">
        <f t="shared" si="117"/>
        <v>0</v>
      </c>
      <c r="BT230">
        <f t="shared" si="118"/>
        <v>0</v>
      </c>
      <c r="BU230" t="e">
        <f t="shared" si="119"/>
        <v>#DIV/0!</v>
      </c>
      <c r="BV230" t="e">
        <f t="shared" si="120"/>
        <v>#DIV/0!</v>
      </c>
      <c r="BX230" t="e">
        <f t="shared" si="121"/>
        <v>#DIV/0!</v>
      </c>
      <c r="CF230">
        <v>2.0999999999999999E-3</v>
      </c>
      <c r="CG230">
        <v>0.34739999999999999</v>
      </c>
      <c r="CH230">
        <v>0</v>
      </c>
      <c r="CI230">
        <v>0</v>
      </c>
      <c r="CJ230">
        <v>0</v>
      </c>
      <c r="CK230">
        <v>0.15310000000000001</v>
      </c>
      <c r="CL230">
        <v>0.1404</v>
      </c>
      <c r="CM230">
        <v>0.23830000000000001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5.8299999999999998E-2</v>
      </c>
      <c r="CZ230">
        <v>0</v>
      </c>
      <c r="DA230">
        <v>0</v>
      </c>
      <c r="DB230">
        <v>0</v>
      </c>
      <c r="DC230" s="24">
        <f t="shared" si="101"/>
        <v>0</v>
      </c>
      <c r="DD230" s="24">
        <f t="shared" si="102"/>
        <v>0.34949999999999998</v>
      </c>
      <c r="DE230" s="24">
        <f t="shared" si="104"/>
        <v>0.39140000000000003</v>
      </c>
      <c r="DG230" s="5" t="e">
        <f t="shared" si="103"/>
        <v>#DIV/0!</v>
      </c>
    </row>
    <row r="231" spans="1:111" ht="15" thickBot="1">
      <c r="A231" s="78"/>
      <c r="B231" s="64" t="s">
        <v>324</v>
      </c>
      <c r="C231" s="64" t="s">
        <v>330</v>
      </c>
      <c r="D231" s="64" t="s">
        <v>136</v>
      </c>
      <c r="E231" s="64" t="s">
        <v>128</v>
      </c>
      <c r="F231" s="66" t="s">
        <v>333</v>
      </c>
      <c r="G231" s="19">
        <v>28</v>
      </c>
      <c r="H231" s="19">
        <v>26.23</v>
      </c>
      <c r="I231" s="19">
        <v>0.02</v>
      </c>
      <c r="K231" s="19">
        <v>6.27</v>
      </c>
      <c r="L231" s="19"/>
      <c r="M231" s="19">
        <v>0.37</v>
      </c>
      <c r="N231" s="19">
        <v>0.41</v>
      </c>
      <c r="O231" s="19">
        <v>33.31</v>
      </c>
      <c r="P231" s="19"/>
      <c r="Q231" s="19">
        <v>1.06</v>
      </c>
      <c r="R231" s="19"/>
      <c r="S231" s="19">
        <v>0</v>
      </c>
      <c r="T231" s="19">
        <v>0</v>
      </c>
      <c r="X231" s="19" t="s">
        <v>332</v>
      </c>
      <c r="BG231">
        <f t="shared" si="105"/>
        <v>0</v>
      </c>
      <c r="BH231">
        <f t="shared" si="106"/>
        <v>0</v>
      </c>
      <c r="BI231">
        <f t="shared" si="107"/>
        <v>0</v>
      </c>
      <c r="BJ231">
        <f t="shared" si="108"/>
        <v>0</v>
      </c>
      <c r="BK231">
        <f t="shared" si="109"/>
        <v>0</v>
      </c>
      <c r="BL231">
        <f t="shared" si="110"/>
        <v>0</v>
      </c>
      <c r="BM231">
        <f t="shared" si="111"/>
        <v>0</v>
      </c>
      <c r="BN231">
        <f t="shared" si="112"/>
        <v>0</v>
      </c>
      <c r="BO231">
        <f t="shared" si="113"/>
        <v>0</v>
      </c>
      <c r="BP231">
        <f t="shared" si="114"/>
        <v>0</v>
      </c>
      <c r="BQ231">
        <f t="shared" si="115"/>
        <v>0</v>
      </c>
      <c r="BR231">
        <f t="shared" si="116"/>
        <v>0</v>
      </c>
      <c r="BS231">
        <f t="shared" si="117"/>
        <v>0</v>
      </c>
      <c r="BT231">
        <f t="shared" si="118"/>
        <v>0</v>
      </c>
      <c r="BU231" t="e">
        <f t="shared" si="119"/>
        <v>#DIV/0!</v>
      </c>
      <c r="BV231" t="e">
        <f t="shared" si="120"/>
        <v>#DIV/0!</v>
      </c>
      <c r="BX231" t="e">
        <f t="shared" si="121"/>
        <v>#DIV/0!</v>
      </c>
      <c r="CF231">
        <v>0</v>
      </c>
      <c r="CG231">
        <v>0</v>
      </c>
      <c r="CH231">
        <v>0</v>
      </c>
      <c r="CI231">
        <v>0</v>
      </c>
      <c r="CJ231">
        <v>1E-3</v>
      </c>
      <c r="CK231">
        <v>0.2293</v>
      </c>
      <c r="CL231">
        <v>8.9700000000000002E-2</v>
      </c>
      <c r="CM231">
        <v>4.8099999999999997E-2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 s="24">
        <f t="shared" si="101"/>
        <v>1E-3</v>
      </c>
      <c r="DD231" s="24">
        <f t="shared" si="102"/>
        <v>0</v>
      </c>
      <c r="DE231" s="24">
        <f t="shared" si="104"/>
        <v>0.27739999999999998</v>
      </c>
      <c r="DG231" s="5" t="e">
        <f t="shared" si="103"/>
        <v>#DIV/0!</v>
      </c>
    </row>
    <row r="232" spans="1:111" ht="15" thickBot="1">
      <c r="A232" s="78"/>
      <c r="B232" s="64" t="s">
        <v>324</v>
      </c>
      <c r="C232" s="64" t="s">
        <v>330</v>
      </c>
      <c r="D232" s="64" t="s">
        <v>136</v>
      </c>
      <c r="E232" s="64" t="s">
        <v>129</v>
      </c>
      <c r="F232" s="66" t="s">
        <v>333</v>
      </c>
      <c r="G232" s="19">
        <v>28.93</v>
      </c>
      <c r="H232" s="19">
        <v>18.22</v>
      </c>
      <c r="I232" s="19">
        <v>0.03</v>
      </c>
      <c r="K232" s="19">
        <v>13.26</v>
      </c>
      <c r="L232" s="19"/>
      <c r="M232" s="19">
        <v>1.54</v>
      </c>
      <c r="N232" s="19">
        <v>0.25</v>
      </c>
      <c r="O232" s="19">
        <v>33.24</v>
      </c>
      <c r="P232" s="19"/>
      <c r="Q232" s="19">
        <v>0.53</v>
      </c>
      <c r="R232" s="19"/>
      <c r="S232" s="19">
        <v>0.06</v>
      </c>
      <c r="T232" s="19">
        <v>0</v>
      </c>
      <c r="X232" s="19" t="s">
        <v>332</v>
      </c>
      <c r="BG232">
        <f t="shared" si="105"/>
        <v>0</v>
      </c>
      <c r="BH232">
        <f t="shared" si="106"/>
        <v>0</v>
      </c>
      <c r="BI232">
        <f t="shared" si="107"/>
        <v>0</v>
      </c>
      <c r="BJ232">
        <f t="shared" si="108"/>
        <v>0</v>
      </c>
      <c r="BK232">
        <f t="shared" si="109"/>
        <v>0</v>
      </c>
      <c r="BL232">
        <f t="shared" si="110"/>
        <v>0</v>
      </c>
      <c r="BM232">
        <f t="shared" si="111"/>
        <v>0</v>
      </c>
      <c r="BN232">
        <f t="shared" si="112"/>
        <v>0</v>
      </c>
      <c r="BO232">
        <f t="shared" si="113"/>
        <v>0</v>
      </c>
      <c r="BP232">
        <f t="shared" si="114"/>
        <v>0</v>
      </c>
      <c r="BQ232">
        <f t="shared" si="115"/>
        <v>0</v>
      </c>
      <c r="BR232">
        <f t="shared" si="116"/>
        <v>0</v>
      </c>
      <c r="BS232">
        <f t="shared" si="117"/>
        <v>0</v>
      </c>
      <c r="BT232">
        <f t="shared" si="118"/>
        <v>0</v>
      </c>
      <c r="BU232" t="e">
        <f t="shared" si="119"/>
        <v>#DIV/0!</v>
      </c>
      <c r="BV232" t="e">
        <f t="shared" si="120"/>
        <v>#DIV/0!</v>
      </c>
      <c r="BX232" t="e">
        <f t="shared" si="121"/>
        <v>#DIV/0!</v>
      </c>
      <c r="CF232">
        <v>0</v>
      </c>
      <c r="CG232">
        <v>0</v>
      </c>
      <c r="CH232">
        <v>0</v>
      </c>
      <c r="CI232">
        <v>0.253</v>
      </c>
      <c r="CJ232">
        <v>1.5E-3</v>
      </c>
      <c r="CK232">
        <v>0.21179999999999999</v>
      </c>
      <c r="CL232">
        <v>4.4200000000000003E-2</v>
      </c>
      <c r="CM232">
        <v>0.19769999999999999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0.11849999999999999</v>
      </c>
      <c r="CZ232">
        <v>0</v>
      </c>
      <c r="DA232">
        <v>0</v>
      </c>
      <c r="DB232">
        <v>0</v>
      </c>
      <c r="DC232" s="24">
        <f t="shared" si="101"/>
        <v>0.2545</v>
      </c>
      <c r="DD232" s="24">
        <f t="shared" si="102"/>
        <v>0</v>
      </c>
      <c r="DE232" s="24">
        <f t="shared" si="104"/>
        <v>0.40949999999999998</v>
      </c>
      <c r="DG232" s="5" t="e">
        <f t="shared" si="103"/>
        <v>#DIV/0!</v>
      </c>
    </row>
    <row r="233" spans="1:111">
      <c r="A233" s="78"/>
      <c r="B233" s="64" t="s">
        <v>326</v>
      </c>
      <c r="C233" s="64" t="s">
        <v>330</v>
      </c>
      <c r="D233" s="64" t="s">
        <v>136</v>
      </c>
      <c r="E233" s="64" t="s">
        <v>137</v>
      </c>
      <c r="F233" s="66" t="s">
        <v>333</v>
      </c>
      <c r="G233" s="19">
        <v>32.43</v>
      </c>
      <c r="H233" s="19">
        <v>6.65</v>
      </c>
      <c r="I233" s="19">
        <v>0.21</v>
      </c>
      <c r="K233" s="19">
        <v>22.34</v>
      </c>
      <c r="L233" s="19"/>
      <c r="M233" s="19">
        <v>0.57999999999999996</v>
      </c>
      <c r="N233" s="19">
        <v>0.13</v>
      </c>
      <c r="O233" s="19">
        <v>33.270000000000003</v>
      </c>
      <c r="P233" s="19"/>
      <c r="Q233" s="19">
        <v>0.22</v>
      </c>
      <c r="R233" s="19"/>
      <c r="S233" s="19">
        <v>0</v>
      </c>
      <c r="T233" s="19">
        <v>0</v>
      </c>
      <c r="X233" s="19" t="s">
        <v>332</v>
      </c>
      <c r="BG233">
        <f t="shared" si="105"/>
        <v>0</v>
      </c>
      <c r="BH233">
        <f t="shared" si="106"/>
        <v>0</v>
      </c>
      <c r="BI233">
        <f t="shared" si="107"/>
        <v>0</v>
      </c>
      <c r="BJ233">
        <f t="shared" si="108"/>
        <v>0</v>
      </c>
      <c r="BK233">
        <f t="shared" si="109"/>
        <v>0</v>
      </c>
      <c r="BL233">
        <f t="shared" si="110"/>
        <v>0</v>
      </c>
      <c r="BM233">
        <f t="shared" si="111"/>
        <v>0</v>
      </c>
      <c r="BN233">
        <f t="shared" si="112"/>
        <v>0</v>
      </c>
      <c r="BO233">
        <f t="shared" si="113"/>
        <v>0</v>
      </c>
      <c r="BP233">
        <f t="shared" si="114"/>
        <v>0</v>
      </c>
      <c r="BQ233">
        <f t="shared" si="115"/>
        <v>0</v>
      </c>
      <c r="BR233">
        <f t="shared" si="116"/>
        <v>0</v>
      </c>
      <c r="BS233">
        <f t="shared" si="117"/>
        <v>0</v>
      </c>
      <c r="BT233">
        <f t="shared" si="118"/>
        <v>0</v>
      </c>
      <c r="BU233" t="e">
        <f t="shared" si="119"/>
        <v>#DIV/0!</v>
      </c>
      <c r="BV233" t="e">
        <f t="shared" si="120"/>
        <v>#DIV/0!</v>
      </c>
      <c r="BX233" t="e">
        <f t="shared" si="121"/>
        <v>#DIV/0!</v>
      </c>
      <c r="CJ233">
        <v>0</v>
      </c>
      <c r="CK233">
        <v>0</v>
      </c>
      <c r="CL233">
        <v>0</v>
      </c>
      <c r="CM233">
        <v>0</v>
      </c>
      <c r="CN233">
        <v>0</v>
      </c>
      <c r="CX233">
        <v>0</v>
      </c>
      <c r="DC233" s="24">
        <f t="shared" si="101"/>
        <v>0</v>
      </c>
      <c r="DD233" s="24">
        <f t="shared" si="102"/>
        <v>0</v>
      </c>
      <c r="DE233" s="24">
        <f t="shared" si="104"/>
        <v>0</v>
      </c>
      <c r="DG233" s="5" t="e">
        <f t="shared" si="103"/>
        <v>#DIV/0!</v>
      </c>
    </row>
    <row r="234" spans="1:11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CJ234">
        <v>0</v>
      </c>
      <c r="CK234">
        <v>0</v>
      </c>
      <c r="CL234">
        <v>0</v>
      </c>
      <c r="CM234">
        <v>0</v>
      </c>
      <c r="CN234">
        <v>0</v>
      </c>
      <c r="DC234" s="24">
        <f t="shared" si="101"/>
        <v>0</v>
      </c>
      <c r="DD234" s="24">
        <f t="shared" si="102"/>
        <v>0</v>
      </c>
      <c r="DE234" s="24">
        <f t="shared" si="104"/>
        <v>0</v>
      </c>
      <c r="DG234" s="5"/>
    </row>
    <row r="235" spans="1:111" ht="15.5" customHeight="1">
      <c r="A235" s="81" t="s">
        <v>334</v>
      </c>
      <c r="B235" s="67" t="s">
        <v>335</v>
      </c>
      <c r="C235" t="s">
        <v>336</v>
      </c>
      <c r="D235" s="68"/>
      <c r="E235" s="68"/>
      <c r="F235" s="68"/>
      <c r="G235" s="69">
        <v>27.81</v>
      </c>
      <c r="H235" s="69">
        <v>14.81</v>
      </c>
      <c r="I235" s="69">
        <v>2.54</v>
      </c>
      <c r="J235" s="70"/>
      <c r="K235" s="69">
        <v>19.04</v>
      </c>
      <c r="L235" s="69"/>
      <c r="M235" s="69">
        <v>1.26</v>
      </c>
      <c r="N235" s="69" t="s">
        <v>337</v>
      </c>
      <c r="O235" s="69">
        <v>32.36</v>
      </c>
      <c r="Q235" s="69" t="s">
        <v>337</v>
      </c>
      <c r="T235" s="69"/>
      <c r="U235" s="69"/>
      <c r="X235" s="69">
        <v>1.6</v>
      </c>
      <c r="BG235">
        <f t="shared" si="105"/>
        <v>0</v>
      </c>
      <c r="BH235">
        <f t="shared" si="106"/>
        <v>0</v>
      </c>
      <c r="BI235">
        <f t="shared" si="107"/>
        <v>0</v>
      </c>
      <c r="BJ235">
        <f t="shared" si="108"/>
        <v>0</v>
      </c>
      <c r="BK235">
        <f t="shared" si="109"/>
        <v>0</v>
      </c>
      <c r="BL235">
        <f t="shared" si="110"/>
        <v>0</v>
      </c>
      <c r="BM235">
        <f t="shared" si="111"/>
        <v>0</v>
      </c>
      <c r="BN235">
        <f t="shared" si="112"/>
        <v>0</v>
      </c>
      <c r="BO235">
        <f t="shared" si="113"/>
        <v>0</v>
      </c>
      <c r="BP235">
        <f t="shared" si="114"/>
        <v>0</v>
      </c>
      <c r="BQ235">
        <f t="shared" si="115"/>
        <v>0</v>
      </c>
      <c r="BR235">
        <f t="shared" si="116"/>
        <v>0</v>
      </c>
      <c r="BS235">
        <f t="shared" si="117"/>
        <v>0</v>
      </c>
      <c r="BT235">
        <f t="shared" si="118"/>
        <v>0</v>
      </c>
      <c r="BU235" t="e">
        <f t="shared" si="119"/>
        <v>#DIV/0!</v>
      </c>
      <c r="BV235" t="e">
        <f t="shared" si="120"/>
        <v>#DIV/0!</v>
      </c>
      <c r="BX235" t="e">
        <f t="shared" si="121"/>
        <v>#DIV/0!</v>
      </c>
      <c r="CF235">
        <v>3.2800000000000003E-2</v>
      </c>
      <c r="CG235">
        <v>0</v>
      </c>
      <c r="CH235">
        <v>0</v>
      </c>
      <c r="CI235">
        <v>0.20569999999999999</v>
      </c>
      <c r="CJ235">
        <v>9.2999999999999999E-2</v>
      </c>
      <c r="CK235">
        <v>0.26729999999999998</v>
      </c>
      <c r="CL235">
        <v>0</v>
      </c>
      <c r="CM235">
        <v>7.1499999999999994E-2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0.3009</v>
      </c>
      <c r="CZ235">
        <v>0</v>
      </c>
      <c r="DA235">
        <v>0</v>
      </c>
      <c r="DB235">
        <v>2.8799999999999999E-2</v>
      </c>
      <c r="DC235" s="24">
        <f t="shared" si="101"/>
        <v>0.29869999999999997</v>
      </c>
      <c r="DD235" s="24">
        <f t="shared" si="102"/>
        <v>3.2800000000000003E-2</v>
      </c>
      <c r="DE235" s="24">
        <f t="shared" si="104"/>
        <v>0.33879999999999999</v>
      </c>
      <c r="DG235" s="5" t="e">
        <f t="shared" si="103"/>
        <v>#DIV/0!</v>
      </c>
    </row>
    <row r="236" spans="1:111" ht="15.5" customHeight="1">
      <c r="A236" s="82"/>
      <c r="B236" s="67" t="s">
        <v>338</v>
      </c>
      <c r="C236" t="s">
        <v>336</v>
      </c>
      <c r="D236" s="68"/>
      <c r="E236" s="68"/>
      <c r="F236" s="68"/>
      <c r="G236" s="69">
        <v>27.25</v>
      </c>
      <c r="H236" s="69">
        <v>15.21</v>
      </c>
      <c r="I236" s="69">
        <v>2.41</v>
      </c>
      <c r="J236" s="70"/>
      <c r="K236" s="69">
        <v>18.399999999999999</v>
      </c>
      <c r="L236" s="69"/>
      <c r="M236" s="69">
        <v>1.34</v>
      </c>
      <c r="N236" s="69">
        <v>0.33</v>
      </c>
      <c r="O236" s="69">
        <v>32.26</v>
      </c>
      <c r="Q236" s="69" t="s">
        <v>337</v>
      </c>
      <c r="T236" s="69"/>
      <c r="U236" s="69"/>
      <c r="X236" s="69">
        <v>1.81</v>
      </c>
      <c r="BG236">
        <f t="shared" si="105"/>
        <v>0</v>
      </c>
      <c r="BH236">
        <f t="shared" si="106"/>
        <v>0</v>
      </c>
      <c r="BI236">
        <f t="shared" si="107"/>
        <v>0</v>
      </c>
      <c r="BJ236">
        <f t="shared" si="108"/>
        <v>0</v>
      </c>
      <c r="BK236">
        <f t="shared" si="109"/>
        <v>0</v>
      </c>
      <c r="BL236">
        <f t="shared" si="110"/>
        <v>0</v>
      </c>
      <c r="BM236">
        <f t="shared" si="111"/>
        <v>0</v>
      </c>
      <c r="BN236">
        <f t="shared" si="112"/>
        <v>0</v>
      </c>
      <c r="BO236">
        <f t="shared" si="113"/>
        <v>0</v>
      </c>
      <c r="BP236">
        <f t="shared" si="114"/>
        <v>0</v>
      </c>
      <c r="BQ236">
        <f t="shared" si="115"/>
        <v>0</v>
      </c>
      <c r="BR236">
        <f t="shared" si="116"/>
        <v>0</v>
      </c>
      <c r="BS236">
        <f t="shared" si="117"/>
        <v>0</v>
      </c>
      <c r="BT236">
        <f t="shared" si="118"/>
        <v>0</v>
      </c>
      <c r="BU236" t="e">
        <f t="shared" si="119"/>
        <v>#DIV/0!</v>
      </c>
      <c r="BV236" t="e">
        <f t="shared" si="120"/>
        <v>#DIV/0!</v>
      </c>
      <c r="BX236" t="e">
        <f t="shared" si="121"/>
        <v>#DIV/0!</v>
      </c>
      <c r="CF236">
        <v>3.7400000000000003E-2</v>
      </c>
      <c r="CG236">
        <v>0</v>
      </c>
      <c r="CH236">
        <v>0</v>
      </c>
      <c r="CI236">
        <v>0.22450000000000001</v>
      </c>
      <c r="CJ236">
        <v>8.3000000000000004E-2</v>
      </c>
      <c r="CK236">
        <v>0.25540000000000002</v>
      </c>
      <c r="CL236">
        <v>0</v>
      </c>
      <c r="CM236">
        <v>9.9599999999999994E-2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0.27679999999999999</v>
      </c>
      <c r="CZ236">
        <v>0</v>
      </c>
      <c r="DA236">
        <v>0</v>
      </c>
      <c r="DB236">
        <v>2.3199999999999998E-2</v>
      </c>
      <c r="DC236" s="24">
        <f t="shared" si="101"/>
        <v>0.3075</v>
      </c>
      <c r="DD236" s="24">
        <f t="shared" si="102"/>
        <v>3.7400000000000003E-2</v>
      </c>
      <c r="DE236" s="24">
        <f t="shared" si="104"/>
        <v>0.35499999999999998</v>
      </c>
      <c r="DG236" s="5" t="e">
        <f t="shared" si="103"/>
        <v>#DIV/0!</v>
      </c>
    </row>
    <row r="237" spans="1:111" ht="15.5">
      <c r="A237" s="71"/>
      <c r="B237" s="67" t="s">
        <v>339</v>
      </c>
      <c r="C237" t="s">
        <v>336</v>
      </c>
      <c r="D237" s="68"/>
      <c r="E237" s="68"/>
      <c r="F237" s="68"/>
      <c r="G237" s="69">
        <v>27.83</v>
      </c>
      <c r="H237" s="69">
        <v>14.65</v>
      </c>
      <c r="I237" s="69">
        <v>2.66</v>
      </c>
      <c r="J237" s="70"/>
      <c r="K237" s="69">
        <v>19.03</v>
      </c>
      <c r="L237" s="69"/>
      <c r="M237" s="69">
        <v>1.24</v>
      </c>
      <c r="N237" s="69" t="s">
        <v>337</v>
      </c>
      <c r="O237" s="69">
        <v>32.35</v>
      </c>
      <c r="Q237" s="69" t="s">
        <v>337</v>
      </c>
      <c r="T237" s="69"/>
      <c r="U237" s="69"/>
      <c r="X237" s="69">
        <v>1.72</v>
      </c>
      <c r="BG237">
        <f t="shared" si="105"/>
        <v>0</v>
      </c>
      <c r="BH237">
        <f t="shared" si="106"/>
        <v>0</v>
      </c>
      <c r="BI237">
        <f t="shared" si="107"/>
        <v>0</v>
      </c>
      <c r="BJ237">
        <f t="shared" si="108"/>
        <v>0</v>
      </c>
      <c r="BK237">
        <f t="shared" si="109"/>
        <v>0</v>
      </c>
      <c r="BL237">
        <f t="shared" si="110"/>
        <v>0</v>
      </c>
      <c r="BM237">
        <f t="shared" si="111"/>
        <v>0</v>
      </c>
      <c r="BN237">
        <f t="shared" si="112"/>
        <v>0</v>
      </c>
      <c r="BO237">
        <f t="shared" si="113"/>
        <v>0</v>
      </c>
      <c r="BP237">
        <f t="shared" si="114"/>
        <v>0</v>
      </c>
      <c r="BQ237">
        <f t="shared" si="115"/>
        <v>0</v>
      </c>
      <c r="BR237">
        <f t="shared" si="116"/>
        <v>0</v>
      </c>
      <c r="BS237">
        <f t="shared" si="117"/>
        <v>0</v>
      </c>
      <c r="BT237">
        <f t="shared" si="118"/>
        <v>0</v>
      </c>
      <c r="BU237" t="e">
        <f t="shared" si="119"/>
        <v>#DIV/0!</v>
      </c>
      <c r="BV237" t="e">
        <f t="shared" si="120"/>
        <v>#DIV/0!</v>
      </c>
      <c r="BX237" t="e">
        <f t="shared" si="121"/>
        <v>#DIV/0!</v>
      </c>
      <c r="CF237">
        <v>3.5200000000000002E-2</v>
      </c>
      <c r="CG237">
        <v>0</v>
      </c>
      <c r="CH237">
        <v>0</v>
      </c>
      <c r="CI237">
        <v>0.1996</v>
      </c>
      <c r="CJ237">
        <v>9.64E-2</v>
      </c>
      <c r="CK237">
        <v>0.2671</v>
      </c>
      <c r="CL237">
        <v>0</v>
      </c>
      <c r="CM237">
        <v>6.6500000000000004E-2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0.30559999999999998</v>
      </c>
      <c r="CZ237">
        <v>0</v>
      </c>
      <c r="DA237">
        <v>0</v>
      </c>
      <c r="DB237">
        <v>2.9600000000000001E-2</v>
      </c>
      <c r="DC237" s="24">
        <f t="shared" si="101"/>
        <v>0.29599999999999999</v>
      </c>
      <c r="DD237" s="24">
        <f t="shared" si="102"/>
        <v>3.5200000000000002E-2</v>
      </c>
      <c r="DE237" s="24">
        <f t="shared" si="104"/>
        <v>0.33360000000000001</v>
      </c>
      <c r="DG237" s="5" t="e">
        <f t="shared" si="103"/>
        <v>#DIV/0!</v>
      </c>
    </row>
    <row r="238" spans="1:111" ht="15.5">
      <c r="A238" s="71"/>
      <c r="B238" s="67" t="s">
        <v>340</v>
      </c>
      <c r="C238" t="s">
        <v>336</v>
      </c>
      <c r="D238" s="68"/>
      <c r="E238" s="68"/>
      <c r="F238" s="68"/>
      <c r="G238" s="69">
        <v>27.86</v>
      </c>
      <c r="H238" s="69">
        <v>15.32</v>
      </c>
      <c r="I238" s="69">
        <v>2.46</v>
      </c>
      <c r="J238" s="70"/>
      <c r="K238" s="69">
        <v>19.12</v>
      </c>
      <c r="L238" s="69"/>
      <c r="M238" s="69">
        <v>1.31</v>
      </c>
      <c r="N238" s="69" t="s">
        <v>337</v>
      </c>
      <c r="O238" s="69">
        <v>32.64</v>
      </c>
      <c r="Q238" s="69" t="s">
        <v>337</v>
      </c>
      <c r="T238" s="69"/>
      <c r="U238" s="69"/>
      <c r="X238" s="69">
        <v>1.71</v>
      </c>
      <c r="BG238">
        <f t="shared" si="105"/>
        <v>0</v>
      </c>
      <c r="BH238">
        <f t="shared" si="106"/>
        <v>0</v>
      </c>
      <c r="BI238">
        <f t="shared" si="107"/>
        <v>0</v>
      </c>
      <c r="BJ238">
        <f t="shared" si="108"/>
        <v>0</v>
      </c>
      <c r="BK238">
        <f t="shared" si="109"/>
        <v>0</v>
      </c>
      <c r="BL238">
        <f t="shared" si="110"/>
        <v>0</v>
      </c>
      <c r="BM238">
        <f t="shared" si="111"/>
        <v>0</v>
      </c>
      <c r="BN238">
        <f t="shared" si="112"/>
        <v>0</v>
      </c>
      <c r="BO238">
        <f t="shared" si="113"/>
        <v>0</v>
      </c>
      <c r="BP238">
        <f t="shared" si="114"/>
        <v>0</v>
      </c>
      <c r="BQ238">
        <f t="shared" si="115"/>
        <v>0</v>
      </c>
      <c r="BR238">
        <f t="shared" si="116"/>
        <v>0</v>
      </c>
      <c r="BS238">
        <f t="shared" si="117"/>
        <v>0</v>
      </c>
      <c r="BT238">
        <f t="shared" si="118"/>
        <v>0</v>
      </c>
      <c r="BU238" t="e">
        <f t="shared" si="119"/>
        <v>#DIV/0!</v>
      </c>
      <c r="BV238" t="e">
        <f t="shared" si="120"/>
        <v>#DIV/0!</v>
      </c>
      <c r="BX238" t="e">
        <f t="shared" si="121"/>
        <v>#DIV/0!</v>
      </c>
      <c r="CF238">
        <v>3.4700000000000002E-2</v>
      </c>
      <c r="CG238">
        <v>0</v>
      </c>
      <c r="CH238">
        <v>0</v>
      </c>
      <c r="CI238">
        <v>0.21879999999999999</v>
      </c>
      <c r="CJ238">
        <v>8.5999999999999993E-2</v>
      </c>
      <c r="CK238">
        <v>0.27439999999999998</v>
      </c>
      <c r="CL238">
        <v>0</v>
      </c>
      <c r="CM238">
        <v>7.5999999999999998E-2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0.28110000000000002</v>
      </c>
      <c r="CZ238">
        <v>0</v>
      </c>
      <c r="DA238">
        <v>0</v>
      </c>
      <c r="DB238">
        <v>2.8899999999999999E-2</v>
      </c>
      <c r="DC238" s="24">
        <f t="shared" si="101"/>
        <v>0.30479999999999996</v>
      </c>
      <c r="DD238" s="24">
        <f t="shared" si="102"/>
        <v>3.4700000000000002E-2</v>
      </c>
      <c r="DE238" s="24">
        <f t="shared" si="104"/>
        <v>0.35039999999999999</v>
      </c>
      <c r="DG238" s="5" t="e">
        <f t="shared" si="103"/>
        <v>#DIV/0!</v>
      </c>
    </row>
    <row r="239" spans="1:111" ht="15.5">
      <c r="A239" s="71"/>
      <c r="B239" s="67" t="s">
        <v>341</v>
      </c>
      <c r="C239" t="s">
        <v>336</v>
      </c>
      <c r="D239" s="68"/>
      <c r="E239" s="68"/>
      <c r="F239" s="68"/>
      <c r="G239" s="69">
        <v>27.6</v>
      </c>
      <c r="H239" s="69">
        <v>14.83</v>
      </c>
      <c r="I239" s="69">
        <v>2.5</v>
      </c>
      <c r="J239" s="70"/>
      <c r="K239" s="69">
        <v>18.53</v>
      </c>
      <c r="L239" s="69"/>
      <c r="M239" s="69">
        <v>1.27</v>
      </c>
      <c r="N239" s="69" t="s">
        <v>337</v>
      </c>
      <c r="O239" s="69">
        <v>32.28</v>
      </c>
      <c r="Q239" s="69" t="s">
        <v>337</v>
      </c>
      <c r="T239" s="69"/>
      <c r="U239" s="69"/>
      <c r="X239" s="69">
        <v>2.08</v>
      </c>
      <c r="BG239">
        <f t="shared" si="105"/>
        <v>0</v>
      </c>
      <c r="BH239">
        <f t="shared" si="106"/>
        <v>0</v>
      </c>
      <c r="BI239">
        <f t="shared" si="107"/>
        <v>0</v>
      </c>
      <c r="BJ239">
        <f t="shared" si="108"/>
        <v>0</v>
      </c>
      <c r="BK239">
        <f t="shared" si="109"/>
        <v>0</v>
      </c>
      <c r="BL239">
        <f t="shared" si="110"/>
        <v>0</v>
      </c>
      <c r="BM239">
        <f t="shared" si="111"/>
        <v>0</v>
      </c>
      <c r="BN239">
        <f t="shared" si="112"/>
        <v>0</v>
      </c>
      <c r="BO239">
        <f t="shared" si="113"/>
        <v>0</v>
      </c>
      <c r="BP239">
        <f t="shared" si="114"/>
        <v>0</v>
      </c>
      <c r="BQ239">
        <f t="shared" si="115"/>
        <v>0</v>
      </c>
      <c r="BR239">
        <f t="shared" si="116"/>
        <v>0</v>
      </c>
      <c r="BS239">
        <f t="shared" si="117"/>
        <v>0</v>
      </c>
      <c r="BT239">
        <f t="shared" si="118"/>
        <v>0</v>
      </c>
      <c r="BU239" t="e">
        <f t="shared" si="119"/>
        <v>#DIV/0!</v>
      </c>
      <c r="BV239" t="e">
        <f t="shared" si="120"/>
        <v>#DIV/0!</v>
      </c>
      <c r="BX239" t="e">
        <f t="shared" si="121"/>
        <v>#DIV/0!</v>
      </c>
      <c r="CF239">
        <v>4.2799999999999998E-2</v>
      </c>
      <c r="CG239">
        <v>0</v>
      </c>
      <c r="CH239">
        <v>0</v>
      </c>
      <c r="CI239">
        <v>0.2097</v>
      </c>
      <c r="CJ239">
        <v>8.1600000000000006E-2</v>
      </c>
      <c r="CK239">
        <v>0.27810000000000001</v>
      </c>
      <c r="CL239">
        <v>0</v>
      </c>
      <c r="CM239">
        <v>8.1900000000000001E-2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0.27989999999999998</v>
      </c>
      <c r="CZ239">
        <v>0</v>
      </c>
      <c r="DA239">
        <v>0</v>
      </c>
      <c r="DB239">
        <v>2.5999999999999999E-2</v>
      </c>
      <c r="DC239" s="24">
        <f t="shared" si="101"/>
        <v>0.2913</v>
      </c>
      <c r="DD239" s="24">
        <f t="shared" si="102"/>
        <v>4.2799999999999998E-2</v>
      </c>
      <c r="DE239" s="24">
        <f t="shared" si="104"/>
        <v>0.36</v>
      </c>
      <c r="DG239" s="5" t="e">
        <f t="shared" si="103"/>
        <v>#DIV/0!</v>
      </c>
    </row>
    <row r="240" spans="1:111" ht="15.5">
      <c r="A240" s="71"/>
      <c r="B240" s="67" t="s">
        <v>342</v>
      </c>
      <c r="C240" t="s">
        <v>336</v>
      </c>
      <c r="D240" s="68"/>
      <c r="E240" s="68"/>
      <c r="F240" s="68"/>
      <c r="G240" s="69">
        <v>27.63</v>
      </c>
      <c r="H240" s="69">
        <v>14.15</v>
      </c>
      <c r="I240" s="69">
        <v>2.44</v>
      </c>
      <c r="J240" s="70"/>
      <c r="K240" s="69">
        <v>18.84</v>
      </c>
      <c r="L240" s="69"/>
      <c r="M240" s="69">
        <v>1.23</v>
      </c>
      <c r="N240" s="69">
        <v>0.34</v>
      </c>
      <c r="O240" s="69">
        <v>32.19</v>
      </c>
      <c r="Q240" s="69" t="s">
        <v>337</v>
      </c>
      <c r="T240" s="69"/>
      <c r="U240" s="69"/>
      <c r="X240" s="69">
        <v>1.89</v>
      </c>
      <c r="BG240">
        <f t="shared" si="105"/>
        <v>0</v>
      </c>
      <c r="BH240">
        <f t="shared" si="106"/>
        <v>0</v>
      </c>
      <c r="BI240">
        <f t="shared" si="107"/>
        <v>0</v>
      </c>
      <c r="BJ240">
        <f t="shared" si="108"/>
        <v>0</v>
      </c>
      <c r="BK240">
        <f t="shared" si="109"/>
        <v>0</v>
      </c>
      <c r="BL240">
        <f t="shared" si="110"/>
        <v>0</v>
      </c>
      <c r="BM240">
        <f t="shared" si="111"/>
        <v>0</v>
      </c>
      <c r="BN240">
        <f t="shared" si="112"/>
        <v>0</v>
      </c>
      <c r="BO240">
        <f t="shared" si="113"/>
        <v>0</v>
      </c>
      <c r="BP240">
        <f t="shared" si="114"/>
        <v>0</v>
      </c>
      <c r="BQ240">
        <f t="shared" si="115"/>
        <v>0</v>
      </c>
      <c r="BR240">
        <f t="shared" si="116"/>
        <v>0</v>
      </c>
      <c r="BS240">
        <f t="shared" si="117"/>
        <v>0</v>
      </c>
      <c r="BT240">
        <f t="shared" si="118"/>
        <v>0</v>
      </c>
      <c r="BU240" t="e">
        <f t="shared" si="119"/>
        <v>#DIV/0!</v>
      </c>
      <c r="BV240" t="e">
        <f t="shared" si="120"/>
        <v>#DIV/0!</v>
      </c>
      <c r="BX240" t="e">
        <f t="shared" si="121"/>
        <v>#DIV/0!</v>
      </c>
      <c r="CF240">
        <v>3.9199999999999999E-2</v>
      </c>
      <c r="CG240">
        <v>0</v>
      </c>
      <c r="CH240">
        <v>0</v>
      </c>
      <c r="CI240">
        <v>0.20399999999999999</v>
      </c>
      <c r="CJ240">
        <v>8.3000000000000004E-2</v>
      </c>
      <c r="CK240">
        <v>0.24410000000000001</v>
      </c>
      <c r="CL240">
        <v>0</v>
      </c>
      <c r="CM240">
        <v>8.6400000000000005E-2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0.32019999999999998</v>
      </c>
      <c r="CZ240">
        <v>0</v>
      </c>
      <c r="DA240">
        <v>0</v>
      </c>
      <c r="DB240">
        <v>2.3099999999999999E-2</v>
      </c>
      <c r="DC240" s="24">
        <f t="shared" si="101"/>
        <v>0.28699999999999998</v>
      </c>
      <c r="DD240" s="24">
        <f t="shared" si="102"/>
        <v>3.9199999999999999E-2</v>
      </c>
      <c r="DE240" s="24">
        <f t="shared" si="104"/>
        <v>0.33050000000000002</v>
      </c>
      <c r="DG240" s="5" t="e">
        <f t="shared" si="103"/>
        <v>#DIV/0!</v>
      </c>
    </row>
    <row r="241" spans="1:111" ht="15.5">
      <c r="A241" s="71"/>
      <c r="B241" s="67" t="s">
        <v>343</v>
      </c>
      <c r="C241" t="s">
        <v>336</v>
      </c>
      <c r="D241" s="68"/>
      <c r="E241" s="68"/>
      <c r="F241" s="68"/>
      <c r="G241" s="69">
        <v>27.8</v>
      </c>
      <c r="H241" s="69">
        <v>14.12</v>
      </c>
      <c r="I241" s="69">
        <v>2.66</v>
      </c>
      <c r="J241" s="70"/>
      <c r="K241" s="69">
        <v>18.73</v>
      </c>
      <c r="L241" s="69"/>
      <c r="M241" s="69">
        <v>1.26</v>
      </c>
      <c r="N241" s="69" t="s">
        <v>337</v>
      </c>
      <c r="O241" s="69">
        <v>31.98</v>
      </c>
      <c r="Q241" s="69" t="s">
        <v>337</v>
      </c>
      <c r="T241" s="69"/>
      <c r="U241" s="69"/>
      <c r="X241" s="69">
        <v>2.72</v>
      </c>
      <c r="BG241">
        <f t="shared" si="105"/>
        <v>0</v>
      </c>
      <c r="BH241">
        <f t="shared" si="106"/>
        <v>0</v>
      </c>
      <c r="BI241">
        <f t="shared" si="107"/>
        <v>0</v>
      </c>
      <c r="BJ241">
        <f t="shared" si="108"/>
        <v>0</v>
      </c>
      <c r="BK241">
        <f t="shared" si="109"/>
        <v>0</v>
      </c>
      <c r="BL241">
        <f t="shared" si="110"/>
        <v>0</v>
      </c>
      <c r="BM241">
        <f t="shared" si="111"/>
        <v>0</v>
      </c>
      <c r="BN241">
        <f t="shared" si="112"/>
        <v>0</v>
      </c>
      <c r="BO241">
        <f t="shared" si="113"/>
        <v>0</v>
      </c>
      <c r="BP241">
        <f t="shared" si="114"/>
        <v>0</v>
      </c>
      <c r="BQ241">
        <f t="shared" si="115"/>
        <v>0</v>
      </c>
      <c r="BR241">
        <f t="shared" si="116"/>
        <v>0</v>
      </c>
      <c r="BS241">
        <f t="shared" si="117"/>
        <v>0</v>
      </c>
      <c r="BT241">
        <f t="shared" si="118"/>
        <v>0</v>
      </c>
      <c r="BU241" t="e">
        <f t="shared" si="119"/>
        <v>#DIV/0!</v>
      </c>
      <c r="BV241" t="e">
        <f t="shared" si="120"/>
        <v>#DIV/0!</v>
      </c>
      <c r="BX241" t="e">
        <f t="shared" si="121"/>
        <v>#DIV/0!</v>
      </c>
      <c r="CF241">
        <v>5.6000000000000001E-2</v>
      </c>
      <c r="CG241">
        <v>0</v>
      </c>
      <c r="CH241">
        <v>0</v>
      </c>
      <c r="CI241">
        <v>0.19320000000000001</v>
      </c>
      <c r="CJ241">
        <v>7.6399999999999996E-2</v>
      </c>
      <c r="CK241">
        <v>0.30459999999999998</v>
      </c>
      <c r="CL241">
        <v>0</v>
      </c>
      <c r="CM241">
        <v>5.3600000000000002E-2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0.28110000000000002</v>
      </c>
      <c r="CZ241">
        <v>0</v>
      </c>
      <c r="DA241">
        <v>0</v>
      </c>
      <c r="DB241">
        <v>3.5000000000000003E-2</v>
      </c>
      <c r="DC241" s="24">
        <f t="shared" si="101"/>
        <v>0.26960000000000001</v>
      </c>
      <c r="DD241" s="24">
        <f t="shared" si="102"/>
        <v>5.6000000000000001E-2</v>
      </c>
      <c r="DE241" s="24">
        <f t="shared" si="104"/>
        <v>0.35819999999999996</v>
      </c>
      <c r="DG241" s="5" t="e">
        <f t="shared" si="103"/>
        <v>#DIV/0!</v>
      </c>
    </row>
    <row r="242" spans="1:111" ht="15.5">
      <c r="A242" s="71"/>
      <c r="B242" s="67" t="s">
        <v>344</v>
      </c>
      <c r="C242" t="s">
        <v>336</v>
      </c>
      <c r="D242" s="68"/>
      <c r="E242" s="68"/>
      <c r="F242" s="68"/>
      <c r="G242" s="69">
        <v>27.38</v>
      </c>
      <c r="H242" s="69">
        <v>13.7</v>
      </c>
      <c r="I242" s="69">
        <v>2.56</v>
      </c>
      <c r="J242" s="70"/>
      <c r="K242" s="69">
        <v>18.75</v>
      </c>
      <c r="L242" s="69"/>
      <c r="M242" s="69">
        <v>1.26</v>
      </c>
      <c r="N242" s="69" t="s">
        <v>337</v>
      </c>
      <c r="O242" s="69">
        <v>31.57</v>
      </c>
      <c r="Q242" s="69" t="s">
        <v>337</v>
      </c>
      <c r="T242" s="69"/>
      <c r="U242" s="69"/>
      <c r="X242" s="69">
        <v>2.65</v>
      </c>
      <c r="BG242">
        <f t="shared" si="105"/>
        <v>0</v>
      </c>
      <c r="BH242">
        <f t="shared" si="106"/>
        <v>0</v>
      </c>
      <c r="BI242">
        <f t="shared" si="107"/>
        <v>0</v>
      </c>
      <c r="BJ242">
        <f t="shared" si="108"/>
        <v>0</v>
      </c>
      <c r="BK242">
        <f t="shared" si="109"/>
        <v>0</v>
      </c>
      <c r="BL242">
        <f t="shared" si="110"/>
        <v>0</v>
      </c>
      <c r="BM242">
        <f t="shared" si="111"/>
        <v>0</v>
      </c>
      <c r="BN242">
        <f t="shared" si="112"/>
        <v>0</v>
      </c>
      <c r="BO242">
        <f t="shared" si="113"/>
        <v>0</v>
      </c>
      <c r="BP242">
        <f t="shared" si="114"/>
        <v>0</v>
      </c>
      <c r="BQ242">
        <f t="shared" si="115"/>
        <v>0</v>
      </c>
      <c r="BR242">
        <f t="shared" si="116"/>
        <v>0</v>
      </c>
      <c r="BS242">
        <f t="shared" si="117"/>
        <v>0</v>
      </c>
      <c r="BT242">
        <f t="shared" si="118"/>
        <v>0</v>
      </c>
      <c r="BU242" t="e">
        <f t="shared" si="119"/>
        <v>#DIV/0!</v>
      </c>
      <c r="BV242" t="e">
        <f t="shared" si="120"/>
        <v>#DIV/0!</v>
      </c>
      <c r="BX242" t="e">
        <f t="shared" si="121"/>
        <v>#DIV/0!</v>
      </c>
      <c r="CF242">
        <v>5.5300000000000002E-2</v>
      </c>
      <c r="CG242">
        <v>0</v>
      </c>
      <c r="CH242">
        <v>0</v>
      </c>
      <c r="CI242">
        <v>0.19789999999999999</v>
      </c>
      <c r="CJ242">
        <v>7.3899999999999993E-2</v>
      </c>
      <c r="CK242">
        <v>0.28050000000000003</v>
      </c>
      <c r="CL242">
        <v>0</v>
      </c>
      <c r="CM242">
        <v>5.8799999999999998E-2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0.2994</v>
      </c>
      <c r="CZ242">
        <v>0</v>
      </c>
      <c r="DA242">
        <v>0</v>
      </c>
      <c r="DB242">
        <v>3.4000000000000002E-2</v>
      </c>
      <c r="DC242" s="24">
        <f t="shared" si="101"/>
        <v>0.27179999999999999</v>
      </c>
      <c r="DD242" s="24">
        <f t="shared" si="102"/>
        <v>5.5300000000000002E-2</v>
      </c>
      <c r="DE242" s="24">
        <f t="shared" si="104"/>
        <v>0.33930000000000005</v>
      </c>
      <c r="DG242" s="5" t="e">
        <f t="shared" si="103"/>
        <v>#DIV/0!</v>
      </c>
    </row>
    <row r="243" spans="1:111" ht="15.5">
      <c r="A243" s="71"/>
      <c r="B243" s="67" t="s">
        <v>345</v>
      </c>
      <c r="C243" t="s">
        <v>336</v>
      </c>
      <c r="D243" s="68"/>
      <c r="E243" s="68"/>
      <c r="F243" s="68"/>
      <c r="G243" s="69">
        <v>27.94</v>
      </c>
      <c r="H243" s="69">
        <v>15.14</v>
      </c>
      <c r="I243" s="69">
        <v>2.36</v>
      </c>
      <c r="J243" s="70"/>
      <c r="K243" s="69">
        <v>18.350000000000001</v>
      </c>
      <c r="L243" s="69"/>
      <c r="M243" s="69">
        <v>1.34</v>
      </c>
      <c r="N243" s="69" t="s">
        <v>337</v>
      </c>
      <c r="O243" s="69">
        <v>32.18</v>
      </c>
      <c r="Q243" s="69" t="s">
        <v>337</v>
      </c>
      <c r="T243" s="69"/>
      <c r="U243" s="69"/>
      <c r="X243" s="69">
        <v>1.73</v>
      </c>
      <c r="BG243">
        <f t="shared" si="105"/>
        <v>0</v>
      </c>
      <c r="BH243">
        <f t="shared" si="106"/>
        <v>0</v>
      </c>
      <c r="BI243">
        <f t="shared" si="107"/>
        <v>0</v>
      </c>
      <c r="BJ243">
        <f t="shared" si="108"/>
        <v>0</v>
      </c>
      <c r="BK243">
        <f t="shared" si="109"/>
        <v>0</v>
      </c>
      <c r="BL243">
        <f t="shared" si="110"/>
        <v>0</v>
      </c>
      <c r="BM243">
        <f t="shared" si="111"/>
        <v>0</v>
      </c>
      <c r="BN243">
        <f t="shared" si="112"/>
        <v>0</v>
      </c>
      <c r="BO243">
        <f t="shared" si="113"/>
        <v>0</v>
      </c>
      <c r="BP243">
        <f t="shared" si="114"/>
        <v>0</v>
      </c>
      <c r="BQ243">
        <f t="shared" si="115"/>
        <v>0</v>
      </c>
      <c r="BR243">
        <f t="shared" si="116"/>
        <v>0</v>
      </c>
      <c r="BS243">
        <f t="shared" si="117"/>
        <v>0</v>
      </c>
      <c r="BT243">
        <f t="shared" si="118"/>
        <v>0</v>
      </c>
      <c r="BU243" t="e">
        <f t="shared" si="119"/>
        <v>#DIV/0!</v>
      </c>
      <c r="BV243" t="e">
        <f t="shared" si="120"/>
        <v>#DIV/0!</v>
      </c>
      <c r="BX243" t="e">
        <f t="shared" si="121"/>
        <v>#DIV/0!</v>
      </c>
      <c r="CF243">
        <v>3.56E-2</v>
      </c>
      <c r="CG243">
        <v>0</v>
      </c>
      <c r="CH243">
        <v>0</v>
      </c>
      <c r="CI243">
        <v>0.2034</v>
      </c>
      <c r="CJ243">
        <v>8.1799999999999998E-2</v>
      </c>
      <c r="CK243">
        <v>0.312</v>
      </c>
      <c r="CL243">
        <v>0</v>
      </c>
      <c r="CM243">
        <v>7.8899999999999998E-2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0.25829999999999997</v>
      </c>
      <c r="CZ243">
        <v>0</v>
      </c>
      <c r="DA243">
        <v>0</v>
      </c>
      <c r="DB243">
        <v>2.9899999999999999E-2</v>
      </c>
      <c r="DC243" s="24">
        <f t="shared" si="101"/>
        <v>0.28520000000000001</v>
      </c>
      <c r="DD243" s="24">
        <f t="shared" si="102"/>
        <v>3.56E-2</v>
      </c>
      <c r="DE243" s="24">
        <f t="shared" si="104"/>
        <v>0.39090000000000003</v>
      </c>
      <c r="DG243" s="5" t="e">
        <f t="shared" si="103"/>
        <v>#DIV/0!</v>
      </c>
    </row>
    <row r="244" spans="1:111" ht="15.5">
      <c r="A244" s="71"/>
      <c r="B244" s="67" t="s">
        <v>346</v>
      </c>
      <c r="C244" t="s">
        <v>336</v>
      </c>
      <c r="D244" s="68"/>
      <c r="E244" s="68"/>
      <c r="F244" s="68"/>
      <c r="G244" s="69">
        <v>27.27</v>
      </c>
      <c r="H244" s="69">
        <v>15.57</v>
      </c>
      <c r="I244" s="69">
        <v>2.5</v>
      </c>
      <c r="J244" s="70"/>
      <c r="K244" s="69">
        <v>18.53</v>
      </c>
      <c r="L244" s="69"/>
      <c r="M244" s="69">
        <v>1.24</v>
      </c>
      <c r="N244" s="69" t="s">
        <v>337</v>
      </c>
      <c r="O244" s="69">
        <v>31.88</v>
      </c>
      <c r="Q244" s="69" t="s">
        <v>337</v>
      </c>
      <c r="T244" s="69"/>
      <c r="U244" s="69"/>
      <c r="X244" s="69">
        <v>1.51</v>
      </c>
      <c r="BG244">
        <f t="shared" si="105"/>
        <v>0</v>
      </c>
      <c r="BH244">
        <f t="shared" si="106"/>
        <v>0</v>
      </c>
      <c r="BI244">
        <f t="shared" si="107"/>
        <v>0</v>
      </c>
      <c r="BJ244">
        <f t="shared" si="108"/>
        <v>0</v>
      </c>
      <c r="BK244">
        <f t="shared" si="109"/>
        <v>0</v>
      </c>
      <c r="BL244">
        <f t="shared" si="110"/>
        <v>0</v>
      </c>
      <c r="BM244">
        <f t="shared" si="111"/>
        <v>0</v>
      </c>
      <c r="BN244">
        <f t="shared" si="112"/>
        <v>0</v>
      </c>
      <c r="BO244">
        <f t="shared" si="113"/>
        <v>0</v>
      </c>
      <c r="BP244">
        <f t="shared" si="114"/>
        <v>0</v>
      </c>
      <c r="BQ244">
        <f t="shared" si="115"/>
        <v>0</v>
      </c>
      <c r="BR244">
        <f t="shared" si="116"/>
        <v>0</v>
      </c>
      <c r="BS244">
        <f t="shared" si="117"/>
        <v>0</v>
      </c>
      <c r="BT244">
        <f t="shared" si="118"/>
        <v>0</v>
      </c>
      <c r="BU244" t="e">
        <f t="shared" si="119"/>
        <v>#DIV/0!</v>
      </c>
      <c r="BV244" t="e">
        <f t="shared" si="120"/>
        <v>#DIV/0!</v>
      </c>
      <c r="BX244" t="e">
        <f t="shared" si="121"/>
        <v>#DIV/0!</v>
      </c>
      <c r="CF244">
        <v>3.1300000000000001E-2</v>
      </c>
      <c r="CG244">
        <v>0</v>
      </c>
      <c r="CH244">
        <v>0</v>
      </c>
      <c r="CI244">
        <v>0.2165</v>
      </c>
      <c r="CJ244">
        <v>9.3899999999999997E-2</v>
      </c>
      <c r="CK244">
        <v>0.3155</v>
      </c>
      <c r="CL244">
        <v>0</v>
      </c>
      <c r="CM244">
        <v>5.8900000000000001E-2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0.25130000000000002</v>
      </c>
      <c r="CZ244">
        <v>0</v>
      </c>
      <c r="DA244">
        <v>0</v>
      </c>
      <c r="DB244">
        <v>3.27E-2</v>
      </c>
      <c r="DC244" s="24">
        <f t="shared" si="101"/>
        <v>0.31040000000000001</v>
      </c>
      <c r="DD244" s="24">
        <f t="shared" si="102"/>
        <v>3.1300000000000001E-2</v>
      </c>
      <c r="DE244" s="24">
        <f t="shared" si="104"/>
        <v>0.37440000000000001</v>
      </c>
      <c r="DG244" s="5" t="e">
        <f t="shared" si="103"/>
        <v>#DIV/0!</v>
      </c>
    </row>
    <row r="245" spans="1:111" ht="16" thickBot="1">
      <c r="A245" s="71"/>
      <c r="B245" s="67" t="s">
        <v>347</v>
      </c>
      <c r="C245" t="s">
        <v>336</v>
      </c>
      <c r="D245" s="68"/>
      <c r="E245" s="68"/>
      <c r="F245" s="68"/>
      <c r="G245" s="69">
        <v>27.34</v>
      </c>
      <c r="H245" s="69">
        <v>15.31</v>
      </c>
      <c r="I245" s="69">
        <v>2.4</v>
      </c>
      <c r="J245" s="70"/>
      <c r="K245" s="69">
        <v>18.79</v>
      </c>
      <c r="L245" s="69"/>
      <c r="M245" s="69">
        <v>1.22</v>
      </c>
      <c r="N245" s="69" t="s">
        <v>337</v>
      </c>
      <c r="O245" s="69">
        <v>31.73</v>
      </c>
      <c r="Q245" s="69" t="s">
        <v>337</v>
      </c>
      <c r="T245" s="69"/>
      <c r="U245" s="69"/>
      <c r="V245" s="22"/>
      <c r="X245" s="69">
        <v>1.47</v>
      </c>
      <c r="BG245">
        <f t="shared" si="105"/>
        <v>0</v>
      </c>
      <c r="BH245">
        <f t="shared" si="106"/>
        <v>0</v>
      </c>
      <c r="BI245">
        <f t="shared" si="107"/>
        <v>0</v>
      </c>
      <c r="BJ245">
        <f t="shared" si="108"/>
        <v>0</v>
      </c>
      <c r="BK245">
        <f t="shared" si="109"/>
        <v>0</v>
      </c>
      <c r="BL245">
        <f t="shared" si="110"/>
        <v>0</v>
      </c>
      <c r="BM245">
        <f t="shared" si="111"/>
        <v>0</v>
      </c>
      <c r="BN245">
        <f t="shared" si="112"/>
        <v>0</v>
      </c>
      <c r="BO245">
        <f t="shared" si="113"/>
        <v>0</v>
      </c>
      <c r="BP245">
        <f t="shared" si="114"/>
        <v>0</v>
      </c>
      <c r="BQ245">
        <f t="shared" si="115"/>
        <v>0</v>
      </c>
      <c r="BR245">
        <f t="shared" si="116"/>
        <v>0</v>
      </c>
      <c r="BS245">
        <f t="shared" si="117"/>
        <v>0</v>
      </c>
      <c r="BT245">
        <f t="shared" si="118"/>
        <v>0</v>
      </c>
      <c r="BU245" t="e">
        <f t="shared" si="119"/>
        <v>#DIV/0!</v>
      </c>
      <c r="BV245" t="e">
        <f t="shared" si="120"/>
        <v>#DIV/0!</v>
      </c>
      <c r="BX245" t="e">
        <f t="shared" si="121"/>
        <v>#DIV/0!</v>
      </c>
      <c r="CF245">
        <v>3.0499999999999999E-2</v>
      </c>
      <c r="CG245">
        <v>0</v>
      </c>
      <c r="CH245">
        <v>0</v>
      </c>
      <c r="CI245">
        <v>0.21529999999999999</v>
      </c>
      <c r="CJ245">
        <v>8.9899999999999994E-2</v>
      </c>
      <c r="CK245">
        <v>0.3201</v>
      </c>
      <c r="CL245">
        <v>0</v>
      </c>
      <c r="CM245">
        <v>5.0299999999999997E-2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0.25890000000000002</v>
      </c>
      <c r="CZ245">
        <v>0</v>
      </c>
      <c r="DA245">
        <v>0</v>
      </c>
      <c r="DB245">
        <v>3.49E-2</v>
      </c>
      <c r="DC245" s="24">
        <f t="shared" si="101"/>
        <v>0.30519999999999997</v>
      </c>
      <c r="DD245" s="24">
        <f t="shared" si="102"/>
        <v>3.0499999999999999E-2</v>
      </c>
      <c r="DE245" s="24">
        <f t="shared" si="104"/>
        <v>0.37040000000000001</v>
      </c>
      <c r="DG245" s="5" t="e">
        <f t="shared" si="103"/>
        <v>#DIV/0!</v>
      </c>
    </row>
    <row r="246" spans="1:111" ht="16" thickBot="1">
      <c r="A246" s="71"/>
      <c r="B246" s="67" t="s">
        <v>348</v>
      </c>
      <c r="C246" t="s">
        <v>336</v>
      </c>
      <c r="D246" s="68"/>
      <c r="E246" s="68"/>
      <c r="F246" s="68"/>
      <c r="G246" s="69">
        <v>27.98</v>
      </c>
      <c r="H246" s="69">
        <v>15.75</v>
      </c>
      <c r="I246" s="69">
        <v>2.5</v>
      </c>
      <c r="J246" s="70"/>
      <c r="K246" s="69">
        <v>18.78</v>
      </c>
      <c r="L246" s="69"/>
      <c r="M246" s="69">
        <v>1.44</v>
      </c>
      <c r="N246" s="69" t="s">
        <v>337</v>
      </c>
      <c r="O246" s="69">
        <v>32.22</v>
      </c>
      <c r="Q246" s="69" t="s">
        <v>337</v>
      </c>
      <c r="T246" s="69"/>
      <c r="U246" s="69"/>
      <c r="V246" s="22"/>
      <c r="X246" s="69">
        <v>1.31</v>
      </c>
      <c r="BG246">
        <f t="shared" si="105"/>
        <v>0</v>
      </c>
      <c r="BH246">
        <f t="shared" si="106"/>
        <v>0</v>
      </c>
      <c r="BI246">
        <f t="shared" si="107"/>
        <v>0</v>
      </c>
      <c r="BJ246">
        <f t="shared" si="108"/>
        <v>0</v>
      </c>
      <c r="BK246">
        <f t="shared" si="109"/>
        <v>0</v>
      </c>
      <c r="BL246">
        <f t="shared" si="110"/>
        <v>0</v>
      </c>
      <c r="BM246">
        <f t="shared" si="111"/>
        <v>0</v>
      </c>
      <c r="BN246">
        <f t="shared" si="112"/>
        <v>0</v>
      </c>
      <c r="BO246">
        <f t="shared" si="113"/>
        <v>0</v>
      </c>
      <c r="BP246">
        <f t="shared" si="114"/>
        <v>0</v>
      </c>
      <c r="BQ246">
        <f t="shared" si="115"/>
        <v>0</v>
      </c>
      <c r="BR246">
        <f t="shared" si="116"/>
        <v>0</v>
      </c>
      <c r="BS246">
        <f t="shared" si="117"/>
        <v>0</v>
      </c>
      <c r="BT246">
        <f t="shared" si="118"/>
        <v>0</v>
      </c>
      <c r="BU246" t="e">
        <f t="shared" si="119"/>
        <v>#DIV/0!</v>
      </c>
      <c r="BV246" t="e">
        <f t="shared" si="120"/>
        <v>#DIV/0!</v>
      </c>
      <c r="BX246" t="e">
        <f t="shared" si="121"/>
        <v>#DIV/0!</v>
      </c>
      <c r="CF246">
        <v>2.6700000000000002E-2</v>
      </c>
      <c r="CG246">
        <v>0</v>
      </c>
      <c r="CH246">
        <v>0</v>
      </c>
      <c r="CI246">
        <v>0.20860000000000001</v>
      </c>
      <c r="CJ246">
        <v>9.64E-2</v>
      </c>
      <c r="CK246">
        <v>0.31730000000000003</v>
      </c>
      <c r="CL246">
        <v>0</v>
      </c>
      <c r="CM246">
        <v>6.25E-2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0.24970000000000001</v>
      </c>
      <c r="CZ246">
        <v>0</v>
      </c>
      <c r="DA246">
        <v>0</v>
      </c>
      <c r="DB246">
        <v>3.8899999999999997E-2</v>
      </c>
      <c r="DC246" s="24">
        <f t="shared" si="101"/>
        <v>0.30499999999999999</v>
      </c>
      <c r="DD246" s="24">
        <f t="shared" si="102"/>
        <v>2.6700000000000002E-2</v>
      </c>
      <c r="DE246" s="24">
        <f t="shared" si="104"/>
        <v>0.37980000000000003</v>
      </c>
      <c r="DG246" s="5" t="e">
        <f t="shared" si="103"/>
        <v>#DIV/0!</v>
      </c>
    </row>
    <row r="247" spans="1:111" ht="16" thickBot="1">
      <c r="A247" s="71"/>
      <c r="B247" s="67" t="s">
        <v>349</v>
      </c>
      <c r="C247" t="s">
        <v>336</v>
      </c>
      <c r="D247" s="68"/>
      <c r="E247" s="68"/>
      <c r="F247" s="68"/>
      <c r="G247" s="69">
        <v>27.21</v>
      </c>
      <c r="H247" s="69">
        <v>15.32</v>
      </c>
      <c r="I247" s="69">
        <v>2.5</v>
      </c>
      <c r="J247" s="70"/>
      <c r="K247" s="69">
        <v>18.39</v>
      </c>
      <c r="L247" s="69"/>
      <c r="M247" s="69">
        <v>1.25</v>
      </c>
      <c r="N247" s="69" t="s">
        <v>337</v>
      </c>
      <c r="O247" s="69">
        <v>32.06</v>
      </c>
      <c r="Q247" s="69" t="s">
        <v>337</v>
      </c>
      <c r="T247" s="69"/>
      <c r="U247" s="69"/>
      <c r="V247" s="22"/>
      <c r="X247" s="69">
        <v>1.57</v>
      </c>
      <c r="BG247">
        <f t="shared" si="105"/>
        <v>0</v>
      </c>
      <c r="BH247">
        <f t="shared" si="106"/>
        <v>0</v>
      </c>
      <c r="BI247">
        <f t="shared" si="107"/>
        <v>0</v>
      </c>
      <c r="BJ247">
        <f t="shared" si="108"/>
        <v>0</v>
      </c>
      <c r="BK247">
        <f t="shared" si="109"/>
        <v>0</v>
      </c>
      <c r="BL247">
        <f t="shared" si="110"/>
        <v>0</v>
      </c>
      <c r="BM247">
        <f t="shared" si="111"/>
        <v>0</v>
      </c>
      <c r="BN247">
        <f t="shared" si="112"/>
        <v>0</v>
      </c>
      <c r="BO247">
        <f t="shared" si="113"/>
        <v>0</v>
      </c>
      <c r="BP247">
        <f t="shared" si="114"/>
        <v>0</v>
      </c>
      <c r="BQ247">
        <f t="shared" si="115"/>
        <v>0</v>
      </c>
      <c r="BR247">
        <f t="shared" si="116"/>
        <v>0</v>
      </c>
      <c r="BS247">
        <f t="shared" si="117"/>
        <v>0</v>
      </c>
      <c r="BT247">
        <f t="shared" si="118"/>
        <v>0</v>
      </c>
      <c r="BU247" t="e">
        <f t="shared" si="119"/>
        <v>#DIV/0!</v>
      </c>
      <c r="BV247" t="e">
        <f t="shared" si="120"/>
        <v>#DIV/0!</v>
      </c>
      <c r="BX247" t="e">
        <f t="shared" si="121"/>
        <v>#DIV/0!</v>
      </c>
      <c r="CF247">
        <v>3.2599999999999997E-2</v>
      </c>
      <c r="CG247">
        <v>0</v>
      </c>
      <c r="CH247">
        <v>0</v>
      </c>
      <c r="CI247">
        <v>0.21729999999999999</v>
      </c>
      <c r="CJ247">
        <v>9.2799999999999994E-2</v>
      </c>
      <c r="CK247">
        <v>0.27960000000000002</v>
      </c>
      <c r="CL247">
        <v>0</v>
      </c>
      <c r="CM247">
        <v>8.0699999999999994E-2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0.27110000000000001</v>
      </c>
      <c r="CZ247">
        <v>0</v>
      </c>
      <c r="DA247">
        <v>0</v>
      </c>
      <c r="DB247">
        <v>2.5899999999999999E-2</v>
      </c>
      <c r="DC247" s="24">
        <f t="shared" si="101"/>
        <v>0.31009999999999999</v>
      </c>
      <c r="DD247" s="24">
        <f t="shared" si="102"/>
        <v>3.2599999999999997E-2</v>
      </c>
      <c r="DE247" s="24">
        <f t="shared" si="104"/>
        <v>0.36030000000000001</v>
      </c>
      <c r="DG247" s="5" t="e">
        <f t="shared" si="103"/>
        <v>#DIV/0!</v>
      </c>
    </row>
    <row r="248" spans="1:111" ht="16" thickBot="1">
      <c r="A248" s="71"/>
      <c r="B248" s="67" t="s">
        <v>350</v>
      </c>
      <c r="C248" t="s">
        <v>336</v>
      </c>
      <c r="D248" s="68"/>
      <c r="E248" s="68"/>
      <c r="F248" s="68"/>
      <c r="G248" s="69">
        <v>32.26</v>
      </c>
      <c r="H248" s="69">
        <v>13.65</v>
      </c>
      <c r="I248" s="69">
        <v>0.45</v>
      </c>
      <c r="J248" s="70"/>
      <c r="K248" s="69">
        <v>16.829999999999998</v>
      </c>
      <c r="L248" s="69"/>
      <c r="M248" s="69" t="s">
        <v>337</v>
      </c>
      <c r="N248" s="69" t="s">
        <v>337</v>
      </c>
      <c r="O248" s="69">
        <v>33.200000000000003</v>
      </c>
      <c r="Q248" s="69">
        <v>0.37</v>
      </c>
      <c r="T248" s="69"/>
      <c r="U248" s="69"/>
      <c r="V248" s="22"/>
      <c r="X248" s="69" t="s">
        <v>337</v>
      </c>
      <c r="BG248">
        <f t="shared" si="105"/>
        <v>0</v>
      </c>
      <c r="BH248">
        <f t="shared" si="106"/>
        <v>0</v>
      </c>
      <c r="BI248">
        <f t="shared" si="107"/>
        <v>0</v>
      </c>
      <c r="BJ248">
        <f t="shared" si="108"/>
        <v>0</v>
      </c>
      <c r="BK248">
        <f t="shared" si="109"/>
        <v>0</v>
      </c>
      <c r="BL248">
        <f t="shared" si="110"/>
        <v>0</v>
      </c>
      <c r="BM248">
        <f t="shared" si="111"/>
        <v>0</v>
      </c>
      <c r="BN248">
        <f t="shared" si="112"/>
        <v>0</v>
      </c>
      <c r="BO248">
        <f t="shared" si="113"/>
        <v>0</v>
      </c>
      <c r="BP248">
        <f t="shared" si="114"/>
        <v>0</v>
      </c>
      <c r="BQ248">
        <f t="shared" si="115"/>
        <v>0</v>
      </c>
      <c r="BR248">
        <f t="shared" si="116"/>
        <v>0</v>
      </c>
      <c r="BS248">
        <f t="shared" si="117"/>
        <v>0</v>
      </c>
      <c r="BT248">
        <f t="shared" si="118"/>
        <v>0</v>
      </c>
      <c r="BU248" t="e">
        <f t="shared" si="119"/>
        <v>#DIV/0!</v>
      </c>
      <c r="BV248" t="e">
        <f t="shared" si="120"/>
        <v>#DIV/0!</v>
      </c>
      <c r="BX248" t="e">
        <f t="shared" si="121"/>
        <v>#DIV/0!</v>
      </c>
      <c r="CF248">
        <v>0</v>
      </c>
      <c r="CG248">
        <v>0</v>
      </c>
      <c r="CH248">
        <v>0</v>
      </c>
      <c r="CI248">
        <v>8.5199999999999998E-2</v>
      </c>
      <c r="CJ248">
        <v>2.29E-2</v>
      </c>
      <c r="CK248">
        <v>0.60029999999999994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0.22189999999999999</v>
      </c>
      <c r="CZ248">
        <v>0</v>
      </c>
      <c r="DA248">
        <v>0</v>
      </c>
      <c r="DB248">
        <v>0</v>
      </c>
      <c r="DC248" s="24">
        <f t="shared" si="101"/>
        <v>0.1081</v>
      </c>
      <c r="DD248" s="24">
        <f t="shared" si="102"/>
        <v>0</v>
      </c>
      <c r="DE248" s="24">
        <f t="shared" si="104"/>
        <v>0.60029999999999994</v>
      </c>
      <c r="DG248" s="5" t="e">
        <f t="shared" si="103"/>
        <v>#DIV/0!</v>
      </c>
    </row>
    <row r="249" spans="1:111" ht="16" thickBot="1">
      <c r="A249" s="71"/>
      <c r="B249" s="67" t="s">
        <v>351</v>
      </c>
      <c r="C249" t="s">
        <v>336</v>
      </c>
      <c r="D249" s="68"/>
      <c r="E249" s="68"/>
      <c r="F249" s="68"/>
      <c r="G249" s="69">
        <v>27.43</v>
      </c>
      <c r="H249" s="69">
        <v>15.17</v>
      </c>
      <c r="I249" s="69">
        <v>2.4700000000000002</v>
      </c>
      <c r="J249" s="70"/>
      <c r="K249" s="69">
        <v>18.62</v>
      </c>
      <c r="L249" s="69"/>
      <c r="M249" s="69">
        <v>1.24</v>
      </c>
      <c r="N249" s="69">
        <v>0.28000000000000003</v>
      </c>
      <c r="O249" s="69">
        <v>32.07</v>
      </c>
      <c r="Q249" s="69" t="s">
        <v>337</v>
      </c>
      <c r="T249" s="69"/>
      <c r="U249" s="69"/>
      <c r="V249" s="22"/>
      <c r="X249" s="69">
        <v>2.0499999999999998</v>
      </c>
      <c r="BG249">
        <f t="shared" si="105"/>
        <v>0</v>
      </c>
      <c r="BH249">
        <f t="shared" si="106"/>
        <v>0</v>
      </c>
      <c r="BI249">
        <f t="shared" si="107"/>
        <v>0</v>
      </c>
      <c r="BJ249">
        <f t="shared" si="108"/>
        <v>0</v>
      </c>
      <c r="BK249">
        <f t="shared" si="109"/>
        <v>0</v>
      </c>
      <c r="BL249">
        <f t="shared" si="110"/>
        <v>0</v>
      </c>
      <c r="BM249">
        <f t="shared" si="111"/>
        <v>0</v>
      </c>
      <c r="BN249">
        <f t="shared" si="112"/>
        <v>0</v>
      </c>
      <c r="BO249">
        <f t="shared" si="113"/>
        <v>0</v>
      </c>
      <c r="BP249">
        <f t="shared" si="114"/>
        <v>0</v>
      </c>
      <c r="BQ249">
        <f t="shared" si="115"/>
        <v>0</v>
      </c>
      <c r="BR249">
        <f t="shared" si="116"/>
        <v>0</v>
      </c>
      <c r="BS249">
        <f t="shared" si="117"/>
        <v>0</v>
      </c>
      <c r="BT249">
        <f t="shared" si="118"/>
        <v>0</v>
      </c>
      <c r="BU249" t="e">
        <f t="shared" si="119"/>
        <v>#DIV/0!</v>
      </c>
      <c r="BV249" t="e">
        <f t="shared" si="120"/>
        <v>#DIV/0!</v>
      </c>
      <c r="BX249" t="e">
        <f t="shared" si="121"/>
        <v>#DIV/0!</v>
      </c>
      <c r="CF249">
        <v>4.2299999999999997E-2</v>
      </c>
      <c r="CG249">
        <v>0</v>
      </c>
      <c r="CH249">
        <v>0</v>
      </c>
      <c r="CI249">
        <v>0.2162</v>
      </c>
      <c r="CJ249">
        <v>8.09E-2</v>
      </c>
      <c r="CK249">
        <v>0.30740000000000001</v>
      </c>
      <c r="CL249">
        <v>0</v>
      </c>
      <c r="CM249">
        <v>6.4299999999999996E-2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0.25829999999999997</v>
      </c>
      <c r="CZ249">
        <v>0</v>
      </c>
      <c r="DA249">
        <v>0</v>
      </c>
      <c r="DB249">
        <v>3.0700000000000002E-2</v>
      </c>
      <c r="DC249" s="24">
        <f t="shared" si="101"/>
        <v>0.29710000000000003</v>
      </c>
      <c r="DD249" s="24">
        <f t="shared" si="102"/>
        <v>4.2299999999999997E-2</v>
      </c>
      <c r="DE249" s="24">
        <f t="shared" si="104"/>
        <v>0.37170000000000003</v>
      </c>
      <c r="DG249" s="5" t="e">
        <f t="shared" si="103"/>
        <v>#DIV/0!</v>
      </c>
    </row>
    <row r="250" spans="1:111" ht="16" thickBot="1">
      <c r="A250" s="71"/>
      <c r="B250" s="67" t="s">
        <v>352</v>
      </c>
      <c r="C250" t="s">
        <v>336</v>
      </c>
      <c r="D250" s="68"/>
      <c r="E250" s="68"/>
      <c r="F250" s="68"/>
      <c r="G250" s="69">
        <v>27.1</v>
      </c>
      <c r="H250" s="69">
        <v>15.44</v>
      </c>
      <c r="I250" s="69">
        <v>2.3199999999999998</v>
      </c>
      <c r="J250" s="70"/>
      <c r="K250" s="69">
        <v>18.8</v>
      </c>
      <c r="L250" s="69"/>
      <c r="M250" s="69">
        <v>1.1599999999999999</v>
      </c>
      <c r="N250" s="69" t="s">
        <v>337</v>
      </c>
      <c r="O250" s="69">
        <v>31.88</v>
      </c>
      <c r="Q250" s="69" t="s">
        <v>337</v>
      </c>
      <c r="T250" s="69"/>
      <c r="U250" s="69"/>
      <c r="V250" s="22"/>
      <c r="X250" s="69">
        <v>1.8</v>
      </c>
      <c r="BG250">
        <f t="shared" si="105"/>
        <v>0</v>
      </c>
      <c r="BH250">
        <f t="shared" si="106"/>
        <v>0</v>
      </c>
      <c r="BI250">
        <f t="shared" si="107"/>
        <v>0</v>
      </c>
      <c r="BJ250">
        <f t="shared" si="108"/>
        <v>0</v>
      </c>
      <c r="BK250">
        <f t="shared" si="109"/>
        <v>0</v>
      </c>
      <c r="BL250">
        <f t="shared" si="110"/>
        <v>0</v>
      </c>
      <c r="BM250">
        <f t="shared" si="111"/>
        <v>0</v>
      </c>
      <c r="BN250">
        <f t="shared" si="112"/>
        <v>0</v>
      </c>
      <c r="BO250">
        <f t="shared" si="113"/>
        <v>0</v>
      </c>
      <c r="BP250">
        <f t="shared" si="114"/>
        <v>0</v>
      </c>
      <c r="BQ250">
        <f t="shared" si="115"/>
        <v>0</v>
      </c>
      <c r="BR250">
        <f t="shared" si="116"/>
        <v>0</v>
      </c>
      <c r="BS250">
        <f t="shared" si="117"/>
        <v>0</v>
      </c>
      <c r="BT250">
        <f t="shared" si="118"/>
        <v>0</v>
      </c>
      <c r="BU250" t="e">
        <f t="shared" si="119"/>
        <v>#DIV/0!</v>
      </c>
      <c r="BV250" t="e">
        <f t="shared" si="120"/>
        <v>#DIV/0!</v>
      </c>
      <c r="BX250" t="e">
        <f t="shared" si="121"/>
        <v>#DIV/0!</v>
      </c>
      <c r="CF250">
        <v>3.6900000000000002E-2</v>
      </c>
      <c r="CG250">
        <v>0</v>
      </c>
      <c r="CH250">
        <v>0</v>
      </c>
      <c r="CI250">
        <v>0.1933</v>
      </c>
      <c r="CJ250">
        <v>7.8E-2</v>
      </c>
      <c r="CK250">
        <v>0.41770000000000002</v>
      </c>
      <c r="CL250">
        <v>0</v>
      </c>
      <c r="CM250">
        <v>1.5599999999999999E-2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0.2152</v>
      </c>
      <c r="CZ250">
        <v>0</v>
      </c>
      <c r="DA250">
        <v>0</v>
      </c>
      <c r="DB250">
        <v>7.7999999999999996E-3</v>
      </c>
      <c r="DC250" s="24">
        <f t="shared" si="101"/>
        <v>0.27129999999999999</v>
      </c>
      <c r="DD250" s="24">
        <f t="shared" si="102"/>
        <v>3.6900000000000002E-2</v>
      </c>
      <c r="DE250" s="24">
        <f t="shared" si="104"/>
        <v>0.43330000000000002</v>
      </c>
      <c r="DG250" s="5" t="e">
        <f t="shared" si="103"/>
        <v>#DIV/0!</v>
      </c>
    </row>
    <row r="251" spans="1:111" ht="16" thickBot="1">
      <c r="A251" s="71"/>
      <c r="B251" s="67" t="s">
        <v>353</v>
      </c>
      <c r="C251" t="s">
        <v>336</v>
      </c>
      <c r="D251" s="68"/>
      <c r="E251" s="68"/>
      <c r="F251" s="68"/>
      <c r="G251" s="69">
        <v>26.79</v>
      </c>
      <c r="H251" s="69">
        <v>15.07</v>
      </c>
      <c r="I251" s="69">
        <v>2.41</v>
      </c>
      <c r="J251" s="70"/>
      <c r="K251" s="69">
        <v>18.22</v>
      </c>
      <c r="L251" s="69"/>
      <c r="M251" s="69">
        <v>1.24</v>
      </c>
      <c r="N251" s="69" t="s">
        <v>337</v>
      </c>
      <c r="O251" s="69">
        <v>31.6</v>
      </c>
      <c r="Q251" s="69" t="s">
        <v>337</v>
      </c>
      <c r="T251" s="69"/>
      <c r="U251" s="69"/>
      <c r="V251" s="22"/>
      <c r="X251" s="69">
        <v>1.66</v>
      </c>
      <c r="BG251">
        <f t="shared" si="105"/>
        <v>0</v>
      </c>
      <c r="BH251">
        <f t="shared" si="106"/>
        <v>0</v>
      </c>
      <c r="BI251">
        <f t="shared" si="107"/>
        <v>0</v>
      </c>
      <c r="BJ251">
        <f t="shared" si="108"/>
        <v>0</v>
      </c>
      <c r="BK251">
        <f t="shared" si="109"/>
        <v>0</v>
      </c>
      <c r="BL251">
        <f t="shared" si="110"/>
        <v>0</v>
      </c>
      <c r="BM251">
        <f t="shared" si="111"/>
        <v>0</v>
      </c>
      <c r="BN251">
        <f t="shared" si="112"/>
        <v>0</v>
      </c>
      <c r="BO251">
        <f t="shared" si="113"/>
        <v>0</v>
      </c>
      <c r="BP251">
        <f t="shared" si="114"/>
        <v>0</v>
      </c>
      <c r="BQ251">
        <f t="shared" si="115"/>
        <v>0</v>
      </c>
      <c r="BR251">
        <f t="shared" si="116"/>
        <v>0</v>
      </c>
      <c r="BS251">
        <f t="shared" si="117"/>
        <v>0</v>
      </c>
      <c r="BT251">
        <f t="shared" si="118"/>
        <v>0</v>
      </c>
      <c r="BU251" t="e">
        <f t="shared" si="119"/>
        <v>#DIV/0!</v>
      </c>
      <c r="BV251" t="e">
        <f t="shared" si="120"/>
        <v>#DIV/0!</v>
      </c>
      <c r="BX251" t="e">
        <f t="shared" si="121"/>
        <v>#DIV/0!</v>
      </c>
      <c r="CF251">
        <v>3.49E-2</v>
      </c>
      <c r="CG251">
        <v>0</v>
      </c>
      <c r="CH251">
        <v>0</v>
      </c>
      <c r="CI251">
        <v>0.22170000000000001</v>
      </c>
      <c r="CJ251">
        <v>8.7599999999999997E-2</v>
      </c>
      <c r="CK251">
        <v>0.2787</v>
      </c>
      <c r="CL251">
        <v>0</v>
      </c>
      <c r="CM251">
        <v>8.0799999999999997E-2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0.27</v>
      </c>
      <c r="CZ251">
        <v>0</v>
      </c>
      <c r="DA251">
        <v>0</v>
      </c>
      <c r="DB251">
        <v>2.6200000000000001E-2</v>
      </c>
      <c r="DC251" s="24">
        <f t="shared" si="101"/>
        <v>0.30930000000000002</v>
      </c>
      <c r="DD251" s="24">
        <f t="shared" si="102"/>
        <v>3.49E-2</v>
      </c>
      <c r="DE251" s="24">
        <f t="shared" si="104"/>
        <v>0.35949999999999999</v>
      </c>
      <c r="DG251" s="5" t="e">
        <f t="shared" si="103"/>
        <v>#DIV/0!</v>
      </c>
    </row>
    <row r="252" spans="1:111" ht="16" thickBot="1">
      <c r="A252" s="71"/>
      <c r="B252" s="67" t="s">
        <v>354</v>
      </c>
      <c r="C252" t="s">
        <v>336</v>
      </c>
      <c r="D252" s="68"/>
      <c r="E252" s="68"/>
      <c r="F252" s="68"/>
      <c r="G252" s="69">
        <v>27.86</v>
      </c>
      <c r="H252" s="69">
        <v>14.12</v>
      </c>
      <c r="I252" s="69">
        <v>2.58</v>
      </c>
      <c r="J252" s="70"/>
      <c r="K252" s="69">
        <v>19.04</v>
      </c>
      <c r="L252" s="69"/>
      <c r="M252" s="69">
        <v>1.32</v>
      </c>
      <c r="N252" s="69" t="s">
        <v>337</v>
      </c>
      <c r="O252" s="69">
        <v>32.11</v>
      </c>
      <c r="Q252" s="69" t="s">
        <v>337</v>
      </c>
      <c r="T252" s="69"/>
      <c r="U252" s="69"/>
      <c r="V252" s="22"/>
      <c r="X252" s="69">
        <v>2.16</v>
      </c>
      <c r="BG252">
        <f t="shared" si="105"/>
        <v>0</v>
      </c>
      <c r="BH252">
        <f t="shared" si="106"/>
        <v>0</v>
      </c>
      <c r="BI252">
        <f t="shared" si="107"/>
        <v>0</v>
      </c>
      <c r="BJ252">
        <f t="shared" si="108"/>
        <v>0</v>
      </c>
      <c r="BK252">
        <f t="shared" si="109"/>
        <v>0</v>
      </c>
      <c r="BL252">
        <f t="shared" si="110"/>
        <v>0</v>
      </c>
      <c r="BM252">
        <f t="shared" si="111"/>
        <v>0</v>
      </c>
      <c r="BN252">
        <f t="shared" si="112"/>
        <v>0</v>
      </c>
      <c r="BO252">
        <f t="shared" si="113"/>
        <v>0</v>
      </c>
      <c r="BP252">
        <f t="shared" si="114"/>
        <v>0</v>
      </c>
      <c r="BQ252">
        <f t="shared" si="115"/>
        <v>0</v>
      </c>
      <c r="BR252">
        <f t="shared" si="116"/>
        <v>0</v>
      </c>
      <c r="BS252">
        <f t="shared" si="117"/>
        <v>0</v>
      </c>
      <c r="BT252">
        <f t="shared" si="118"/>
        <v>0</v>
      </c>
      <c r="BU252" t="e">
        <f t="shared" si="119"/>
        <v>#DIV/0!</v>
      </c>
      <c r="BV252" t="e">
        <f t="shared" si="120"/>
        <v>#DIV/0!</v>
      </c>
      <c r="BX252" t="e">
        <f t="shared" si="121"/>
        <v>#DIV/0!</v>
      </c>
      <c r="CF252">
        <v>4.4400000000000002E-2</v>
      </c>
      <c r="CG252">
        <v>0</v>
      </c>
      <c r="CH252">
        <v>0</v>
      </c>
      <c r="CI252">
        <v>0.19719999999999999</v>
      </c>
      <c r="CJ252">
        <v>8.3799999999999999E-2</v>
      </c>
      <c r="CK252">
        <v>0.26679999999999998</v>
      </c>
      <c r="CL252">
        <v>0</v>
      </c>
      <c r="CM252">
        <v>6.7000000000000004E-2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0.30780000000000002</v>
      </c>
      <c r="CZ252">
        <v>0</v>
      </c>
      <c r="DA252">
        <v>0</v>
      </c>
      <c r="DB252">
        <v>3.3000000000000002E-2</v>
      </c>
      <c r="DC252" s="24">
        <f t="shared" si="101"/>
        <v>0.28099999999999997</v>
      </c>
      <c r="DD252" s="24">
        <f t="shared" si="102"/>
        <v>4.4400000000000002E-2</v>
      </c>
      <c r="DE252" s="24">
        <f t="shared" si="104"/>
        <v>0.33379999999999999</v>
      </c>
      <c r="DG252" s="5" t="e">
        <f t="shared" si="103"/>
        <v>#DIV/0!</v>
      </c>
    </row>
    <row r="253" spans="1:111" ht="16" thickBot="1">
      <c r="A253" s="71"/>
      <c r="B253" s="67" t="s">
        <v>355</v>
      </c>
      <c r="C253" t="s">
        <v>336</v>
      </c>
      <c r="D253" s="68"/>
      <c r="E253" s="68"/>
      <c r="F253" s="68"/>
      <c r="G253" s="69">
        <v>27.35</v>
      </c>
      <c r="H253" s="69">
        <v>13.89</v>
      </c>
      <c r="I253" s="69">
        <v>2.6</v>
      </c>
      <c r="J253" s="70"/>
      <c r="K253" s="69">
        <v>18.690000000000001</v>
      </c>
      <c r="L253" s="69"/>
      <c r="M253" s="69">
        <v>1.32</v>
      </c>
      <c r="N253" s="69" t="s">
        <v>337</v>
      </c>
      <c r="O253" s="69">
        <v>31.65</v>
      </c>
      <c r="Q253" s="69" t="s">
        <v>337</v>
      </c>
      <c r="T253" s="69"/>
      <c r="U253" s="69"/>
      <c r="V253" s="22"/>
      <c r="X253" s="69">
        <v>2.0299999999999998</v>
      </c>
      <c r="BG253">
        <f t="shared" si="105"/>
        <v>0</v>
      </c>
      <c r="BH253">
        <f t="shared" si="106"/>
        <v>0</v>
      </c>
      <c r="BI253">
        <f t="shared" si="107"/>
        <v>0</v>
      </c>
      <c r="BJ253">
        <f t="shared" si="108"/>
        <v>0</v>
      </c>
      <c r="BK253">
        <f t="shared" si="109"/>
        <v>0</v>
      </c>
      <c r="BL253">
        <f t="shared" si="110"/>
        <v>0</v>
      </c>
      <c r="BM253">
        <f t="shared" si="111"/>
        <v>0</v>
      </c>
      <c r="BN253">
        <f t="shared" si="112"/>
        <v>0</v>
      </c>
      <c r="BO253">
        <f t="shared" si="113"/>
        <v>0</v>
      </c>
      <c r="BP253">
        <f t="shared" si="114"/>
        <v>0</v>
      </c>
      <c r="BQ253">
        <f t="shared" si="115"/>
        <v>0</v>
      </c>
      <c r="BR253">
        <f t="shared" si="116"/>
        <v>0</v>
      </c>
      <c r="BS253">
        <f t="shared" si="117"/>
        <v>0</v>
      </c>
      <c r="BT253">
        <f t="shared" si="118"/>
        <v>0</v>
      </c>
      <c r="BU253" t="e">
        <f t="shared" si="119"/>
        <v>#DIV/0!</v>
      </c>
      <c r="BV253" t="e">
        <f t="shared" si="120"/>
        <v>#DIV/0!</v>
      </c>
      <c r="BX253" t="e">
        <f t="shared" si="121"/>
        <v>#DIV/0!</v>
      </c>
      <c r="CF253">
        <v>4.24E-2</v>
      </c>
      <c r="CG253">
        <v>0</v>
      </c>
      <c r="CH253">
        <v>0</v>
      </c>
      <c r="CI253">
        <v>0.19700000000000001</v>
      </c>
      <c r="CJ253">
        <v>8.8900000000000007E-2</v>
      </c>
      <c r="CK253">
        <v>0.24940000000000001</v>
      </c>
      <c r="CL253">
        <v>0</v>
      </c>
      <c r="CM253">
        <v>7.4399999999999994E-2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0.31659999999999999</v>
      </c>
      <c r="CZ253">
        <v>0</v>
      </c>
      <c r="DA253">
        <v>0</v>
      </c>
      <c r="DB253">
        <v>3.1399999999999997E-2</v>
      </c>
      <c r="DC253" s="24">
        <f t="shared" si="101"/>
        <v>0.28590000000000004</v>
      </c>
      <c r="DD253" s="24">
        <f t="shared" si="102"/>
        <v>4.24E-2</v>
      </c>
      <c r="DE253" s="24">
        <f t="shared" si="104"/>
        <v>0.32379999999999998</v>
      </c>
      <c r="DG253" s="5" t="e">
        <f t="shared" si="103"/>
        <v>#DIV/0!</v>
      </c>
    </row>
    <row r="254" spans="1:111" ht="16" thickBot="1">
      <c r="A254" s="71"/>
      <c r="B254" s="67" t="s">
        <v>356</v>
      </c>
      <c r="C254" t="s">
        <v>336</v>
      </c>
      <c r="D254" s="68"/>
      <c r="E254" s="68"/>
      <c r="F254" s="68"/>
      <c r="G254" s="69">
        <v>26.75</v>
      </c>
      <c r="H254" s="69">
        <v>14.06</v>
      </c>
      <c r="I254" s="69">
        <v>2.5099999999999998</v>
      </c>
      <c r="J254" s="70"/>
      <c r="K254" s="69">
        <v>18.440000000000001</v>
      </c>
      <c r="L254" s="69"/>
      <c r="M254" s="69">
        <v>1.24</v>
      </c>
      <c r="N254" s="69" t="s">
        <v>337</v>
      </c>
      <c r="O254" s="69">
        <v>31.73</v>
      </c>
      <c r="Q254" s="69" t="s">
        <v>337</v>
      </c>
      <c r="T254" s="69"/>
      <c r="U254" s="69"/>
      <c r="V254" s="22"/>
      <c r="X254" s="69">
        <v>2.12</v>
      </c>
      <c r="BG254">
        <f t="shared" si="105"/>
        <v>0</v>
      </c>
      <c r="BH254">
        <f t="shared" si="106"/>
        <v>0</v>
      </c>
      <c r="BI254">
        <f t="shared" si="107"/>
        <v>0</v>
      </c>
      <c r="BJ254">
        <f t="shared" si="108"/>
        <v>0</v>
      </c>
      <c r="BK254">
        <f t="shared" si="109"/>
        <v>0</v>
      </c>
      <c r="BL254">
        <f t="shared" si="110"/>
        <v>0</v>
      </c>
      <c r="BM254">
        <f t="shared" si="111"/>
        <v>0</v>
      </c>
      <c r="BN254">
        <f t="shared" si="112"/>
        <v>0</v>
      </c>
      <c r="BO254">
        <f t="shared" si="113"/>
        <v>0</v>
      </c>
      <c r="BP254">
        <f t="shared" si="114"/>
        <v>0</v>
      </c>
      <c r="BQ254">
        <f t="shared" si="115"/>
        <v>0</v>
      </c>
      <c r="BR254">
        <f t="shared" si="116"/>
        <v>0</v>
      </c>
      <c r="BS254">
        <f t="shared" si="117"/>
        <v>0</v>
      </c>
      <c r="BT254">
        <f t="shared" si="118"/>
        <v>0</v>
      </c>
      <c r="BU254" t="e">
        <f t="shared" si="119"/>
        <v>#DIV/0!</v>
      </c>
      <c r="BV254" t="e">
        <f t="shared" si="120"/>
        <v>#DIV/0!</v>
      </c>
      <c r="BX254" t="e">
        <f t="shared" si="121"/>
        <v>#DIV/0!</v>
      </c>
      <c r="CF254">
        <v>4.4699999999999997E-2</v>
      </c>
      <c r="CG254">
        <v>0</v>
      </c>
      <c r="CH254">
        <v>0</v>
      </c>
      <c r="CI254">
        <v>0.2165</v>
      </c>
      <c r="CJ254">
        <v>8.3099999999999993E-2</v>
      </c>
      <c r="CK254">
        <v>0.21740000000000001</v>
      </c>
      <c r="CL254">
        <v>0</v>
      </c>
      <c r="CM254">
        <v>9.7299999999999998E-2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0.32019999999999998</v>
      </c>
      <c r="CZ254">
        <v>0</v>
      </c>
      <c r="DA254">
        <v>0</v>
      </c>
      <c r="DB254">
        <v>2.0799999999999999E-2</v>
      </c>
      <c r="DC254" s="24">
        <f t="shared" si="101"/>
        <v>0.29959999999999998</v>
      </c>
      <c r="DD254" s="24">
        <f t="shared" si="102"/>
        <v>4.4699999999999997E-2</v>
      </c>
      <c r="DE254" s="24">
        <f t="shared" si="104"/>
        <v>0.31469999999999998</v>
      </c>
    </row>
    <row r="255" spans="1:111" ht="15" thickBot="1"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22"/>
      <c r="BG255">
        <f t="shared" si="105"/>
        <v>0</v>
      </c>
      <c r="BH255">
        <f t="shared" si="106"/>
        <v>0</v>
      </c>
      <c r="BI255">
        <f t="shared" si="107"/>
        <v>0</v>
      </c>
      <c r="BJ255">
        <f t="shared" si="108"/>
        <v>0</v>
      </c>
      <c r="BK255">
        <f t="shared" si="109"/>
        <v>0</v>
      </c>
      <c r="BL255">
        <f t="shared" si="110"/>
        <v>0</v>
      </c>
      <c r="BM255">
        <f t="shared" si="111"/>
        <v>0</v>
      </c>
      <c r="BN255">
        <f t="shared" si="112"/>
        <v>0</v>
      </c>
      <c r="BO255">
        <f t="shared" si="113"/>
        <v>0</v>
      </c>
      <c r="BP255">
        <f t="shared" si="114"/>
        <v>0</v>
      </c>
      <c r="BQ255">
        <f t="shared" si="115"/>
        <v>0</v>
      </c>
      <c r="BR255">
        <f t="shared" si="116"/>
        <v>0</v>
      </c>
      <c r="BS255">
        <f t="shared" si="117"/>
        <v>0</v>
      </c>
      <c r="BT255">
        <f t="shared" si="118"/>
        <v>0</v>
      </c>
      <c r="BU255" t="e">
        <f t="shared" si="119"/>
        <v>#DIV/0!</v>
      </c>
      <c r="BV255" t="e">
        <f t="shared" si="120"/>
        <v>#DIV/0!</v>
      </c>
      <c r="BX255" t="e">
        <f t="shared" si="121"/>
        <v>#DIV/0!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 s="24">
        <f t="shared" si="101"/>
        <v>0</v>
      </c>
      <c r="DD255" s="24">
        <f t="shared" si="102"/>
        <v>0</v>
      </c>
      <c r="DE255" s="24">
        <f t="shared" si="104"/>
        <v>0</v>
      </c>
    </row>
    <row r="256" spans="1:111">
      <c r="BG256">
        <f t="shared" si="105"/>
        <v>0</v>
      </c>
      <c r="BH256">
        <f t="shared" si="106"/>
        <v>0</v>
      </c>
      <c r="BI256">
        <f t="shared" si="107"/>
        <v>0</v>
      </c>
      <c r="BJ256">
        <f t="shared" si="108"/>
        <v>0</v>
      </c>
      <c r="BK256">
        <f t="shared" si="109"/>
        <v>0</v>
      </c>
      <c r="BL256">
        <f t="shared" si="110"/>
        <v>0</v>
      </c>
      <c r="BM256">
        <f t="shared" si="111"/>
        <v>0</v>
      </c>
      <c r="BN256">
        <f t="shared" si="112"/>
        <v>0</v>
      </c>
      <c r="BO256">
        <f t="shared" si="113"/>
        <v>0</v>
      </c>
      <c r="BP256">
        <f t="shared" si="114"/>
        <v>0</v>
      </c>
      <c r="BQ256">
        <f t="shared" si="115"/>
        <v>0</v>
      </c>
      <c r="BR256">
        <f t="shared" si="116"/>
        <v>0</v>
      </c>
      <c r="BS256">
        <f t="shared" si="117"/>
        <v>0</v>
      </c>
      <c r="BT256">
        <f t="shared" si="118"/>
        <v>0</v>
      </c>
      <c r="BU256" t="e">
        <f t="shared" si="119"/>
        <v>#DIV/0!</v>
      </c>
      <c r="BV256" t="e">
        <f t="shared" si="120"/>
        <v>#DIV/0!</v>
      </c>
      <c r="BX256" t="e">
        <f t="shared" si="121"/>
        <v>#DIV/0!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 s="24">
        <f t="shared" si="101"/>
        <v>0</v>
      </c>
      <c r="DD256" s="24">
        <f t="shared" si="102"/>
        <v>0</v>
      </c>
      <c r="DE256" s="24">
        <f t="shared" si="104"/>
        <v>0</v>
      </c>
    </row>
    <row r="257" spans="2:109" ht="15.5">
      <c r="B257" t="s">
        <v>360</v>
      </c>
      <c r="C257" t="s">
        <v>358</v>
      </c>
      <c r="D257" s="19" t="s">
        <v>359</v>
      </c>
      <c r="E257" s="19"/>
      <c r="F257" s="19"/>
      <c r="G257">
        <v>28.51</v>
      </c>
      <c r="H257">
        <v>8.2799999999999994</v>
      </c>
      <c r="I257">
        <v>4.6900000000000004</v>
      </c>
      <c r="J257">
        <v>13.27</v>
      </c>
      <c r="L257" s="19">
        <f t="shared" ref="L257:L270" si="122">J257*0.9</f>
        <v>11.943</v>
      </c>
      <c r="M257">
        <v>0.24</v>
      </c>
      <c r="N257" s="73"/>
      <c r="O257">
        <v>33.03</v>
      </c>
      <c r="W257">
        <v>8.08</v>
      </c>
      <c r="X257">
        <v>3.69</v>
      </c>
      <c r="BG257">
        <f t="shared" si="105"/>
        <v>0</v>
      </c>
      <c r="BH257">
        <f t="shared" si="106"/>
        <v>0</v>
      </c>
      <c r="BI257">
        <f t="shared" si="107"/>
        <v>0</v>
      </c>
      <c r="BJ257">
        <f t="shared" si="108"/>
        <v>0</v>
      </c>
      <c r="BK257">
        <f t="shared" si="109"/>
        <v>0</v>
      </c>
      <c r="BL257">
        <f t="shared" si="110"/>
        <v>0</v>
      </c>
      <c r="BM257">
        <f t="shared" si="111"/>
        <v>0</v>
      </c>
      <c r="BN257">
        <f t="shared" si="112"/>
        <v>0</v>
      </c>
      <c r="BO257">
        <f t="shared" si="113"/>
        <v>0</v>
      </c>
      <c r="BP257">
        <f t="shared" si="114"/>
        <v>0</v>
      </c>
      <c r="BQ257">
        <f t="shared" si="115"/>
        <v>0</v>
      </c>
      <c r="BR257">
        <f t="shared" si="116"/>
        <v>0</v>
      </c>
      <c r="BS257">
        <f t="shared" si="117"/>
        <v>0</v>
      </c>
      <c r="BT257">
        <f t="shared" si="118"/>
        <v>0</v>
      </c>
      <c r="BU257" t="e">
        <f t="shared" si="119"/>
        <v>#DIV/0!</v>
      </c>
      <c r="BV257" t="e">
        <f t="shared" si="120"/>
        <v>#DIV/0!</v>
      </c>
      <c r="BX257" t="e">
        <f t="shared" si="121"/>
        <v>#DIV/0!</v>
      </c>
      <c r="CF257">
        <v>7.6399999999999996E-2</v>
      </c>
      <c r="CG257">
        <v>0</v>
      </c>
      <c r="CH257">
        <v>0</v>
      </c>
      <c r="CI257">
        <v>5.45E-2</v>
      </c>
      <c r="CJ257">
        <v>0.1583</v>
      </c>
      <c r="CK257">
        <v>6.7100000000000007E-2</v>
      </c>
      <c r="CL257">
        <v>0</v>
      </c>
      <c r="CM257">
        <v>3.04E-2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0.27129999999999999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0.33610000000000001</v>
      </c>
      <c r="CZ257">
        <v>0</v>
      </c>
      <c r="DA257">
        <v>0</v>
      </c>
      <c r="DB257">
        <v>0</v>
      </c>
      <c r="DC257" s="24">
        <f t="shared" si="101"/>
        <v>0.21279999999999999</v>
      </c>
      <c r="DD257" s="24">
        <f t="shared" si="102"/>
        <v>7.6399999999999996E-2</v>
      </c>
      <c r="DE257" s="24">
        <f t="shared" si="104"/>
        <v>9.7500000000000003E-2</v>
      </c>
    </row>
    <row r="258" spans="2:109" ht="15.5">
      <c r="B258" t="s">
        <v>361</v>
      </c>
      <c r="C258" t="s">
        <v>358</v>
      </c>
      <c r="D258" s="19" t="s">
        <v>359</v>
      </c>
      <c r="E258" s="19"/>
      <c r="F258" s="19"/>
      <c r="G258">
        <v>28.53</v>
      </c>
      <c r="H258">
        <v>8.01</v>
      </c>
      <c r="I258">
        <v>4.5199999999999996</v>
      </c>
      <c r="J258">
        <v>12.49</v>
      </c>
      <c r="L258" s="19">
        <f t="shared" si="122"/>
        <v>11.241</v>
      </c>
      <c r="M258">
        <v>0.69</v>
      </c>
      <c r="N258" s="73"/>
      <c r="O258">
        <v>33.03</v>
      </c>
      <c r="W258">
        <v>8.5399999999999991</v>
      </c>
      <c r="X258">
        <v>3.6</v>
      </c>
      <c r="BG258">
        <f t="shared" si="105"/>
        <v>0</v>
      </c>
      <c r="BH258">
        <f t="shared" si="106"/>
        <v>0</v>
      </c>
      <c r="BI258">
        <f t="shared" si="107"/>
        <v>0</v>
      </c>
      <c r="BJ258">
        <f t="shared" si="108"/>
        <v>0</v>
      </c>
      <c r="BK258">
        <f t="shared" si="109"/>
        <v>0</v>
      </c>
      <c r="BL258">
        <f t="shared" si="110"/>
        <v>0</v>
      </c>
      <c r="BM258">
        <f t="shared" si="111"/>
        <v>0</v>
      </c>
      <c r="BN258">
        <f t="shared" si="112"/>
        <v>0</v>
      </c>
      <c r="BO258">
        <f t="shared" si="113"/>
        <v>0</v>
      </c>
      <c r="BP258">
        <f t="shared" si="114"/>
        <v>0</v>
      </c>
      <c r="BQ258">
        <f t="shared" si="115"/>
        <v>0</v>
      </c>
      <c r="BR258">
        <f t="shared" si="116"/>
        <v>0</v>
      </c>
      <c r="BS258">
        <f t="shared" si="117"/>
        <v>0</v>
      </c>
      <c r="BT258">
        <f t="shared" si="118"/>
        <v>0</v>
      </c>
      <c r="BU258" t="e">
        <f t="shared" si="119"/>
        <v>#DIV/0!</v>
      </c>
      <c r="BV258" t="e">
        <f t="shared" si="120"/>
        <v>#DIV/0!</v>
      </c>
      <c r="BX258" t="e">
        <f t="shared" si="121"/>
        <v>#DIV/0!</v>
      </c>
      <c r="CF258">
        <v>7.4499999999999997E-2</v>
      </c>
      <c r="CG258">
        <v>0</v>
      </c>
      <c r="CH258">
        <v>0</v>
      </c>
      <c r="CI258">
        <v>6.25E-2</v>
      </c>
      <c r="CJ258">
        <v>0.1517</v>
      </c>
      <c r="CK258">
        <v>0</v>
      </c>
      <c r="CL258">
        <v>0</v>
      </c>
      <c r="CM258">
        <v>8.3400000000000002E-2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0.28670000000000001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0.3367</v>
      </c>
      <c r="CZ258">
        <v>0</v>
      </c>
      <c r="DA258">
        <v>0</v>
      </c>
      <c r="DB258">
        <v>0</v>
      </c>
      <c r="DC258" s="24">
        <f t="shared" si="101"/>
        <v>0.2142</v>
      </c>
      <c r="DD258" s="24">
        <f t="shared" si="102"/>
        <v>7.4499999999999997E-2</v>
      </c>
      <c r="DE258" s="24">
        <f t="shared" si="104"/>
        <v>8.3400000000000002E-2</v>
      </c>
    </row>
    <row r="259" spans="2:109" ht="15.5">
      <c r="B259" t="s">
        <v>362</v>
      </c>
      <c r="C259" t="s">
        <v>358</v>
      </c>
      <c r="D259" s="19" t="s">
        <v>359</v>
      </c>
      <c r="E259" s="19"/>
      <c r="F259" s="19"/>
      <c r="G259">
        <v>28.73</v>
      </c>
      <c r="H259">
        <v>7.9</v>
      </c>
      <c r="I259">
        <v>4.4800000000000004</v>
      </c>
      <c r="J259">
        <v>12.1</v>
      </c>
      <c r="L259" s="19">
        <f t="shared" si="122"/>
        <v>10.89</v>
      </c>
      <c r="M259">
        <v>0.69</v>
      </c>
      <c r="N259" s="73"/>
      <c r="O259">
        <v>32.92</v>
      </c>
      <c r="W259">
        <v>8.9600000000000009</v>
      </c>
      <c r="X259">
        <v>3.06</v>
      </c>
      <c r="BG259">
        <f t="shared" si="105"/>
        <v>0</v>
      </c>
      <c r="BH259">
        <f t="shared" si="106"/>
        <v>0</v>
      </c>
      <c r="BI259">
        <f t="shared" si="107"/>
        <v>0</v>
      </c>
      <c r="BJ259">
        <f t="shared" si="108"/>
        <v>0</v>
      </c>
      <c r="BK259">
        <f t="shared" si="109"/>
        <v>0</v>
      </c>
      <c r="BL259">
        <f t="shared" si="110"/>
        <v>0</v>
      </c>
      <c r="BM259">
        <f t="shared" si="111"/>
        <v>0</v>
      </c>
      <c r="BN259">
        <f t="shared" si="112"/>
        <v>0</v>
      </c>
      <c r="BO259">
        <f t="shared" si="113"/>
        <v>0</v>
      </c>
      <c r="BP259">
        <f t="shared" si="114"/>
        <v>0</v>
      </c>
      <c r="BQ259">
        <f t="shared" si="115"/>
        <v>0</v>
      </c>
      <c r="BR259">
        <f t="shared" si="116"/>
        <v>0</v>
      </c>
      <c r="BS259">
        <f t="shared" si="117"/>
        <v>0</v>
      </c>
      <c r="BT259">
        <f t="shared" si="118"/>
        <v>0</v>
      </c>
      <c r="BU259" t="e">
        <f t="shared" si="119"/>
        <v>#DIV/0!</v>
      </c>
      <c r="BV259" t="e">
        <f t="shared" si="120"/>
        <v>#DIV/0!</v>
      </c>
      <c r="BX259" t="e">
        <f t="shared" si="121"/>
        <v>#DIV/0!</v>
      </c>
      <c r="CF259">
        <v>6.3500000000000001E-2</v>
      </c>
      <c r="CG259">
        <v>0</v>
      </c>
      <c r="CH259">
        <v>0</v>
      </c>
      <c r="CI259">
        <v>5.1799999999999999E-2</v>
      </c>
      <c r="CJ259">
        <v>0.1613</v>
      </c>
      <c r="CK259">
        <v>0</v>
      </c>
      <c r="CL259">
        <v>0</v>
      </c>
      <c r="CM259">
        <v>7.9899999999999999E-2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0.30159999999999998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0.33600000000000002</v>
      </c>
      <c r="CZ259">
        <v>0</v>
      </c>
      <c r="DA259">
        <v>0</v>
      </c>
      <c r="DB259">
        <v>0</v>
      </c>
      <c r="DC259" s="24">
        <f t="shared" ref="DC259:DC302" si="123">CI259+CJ259</f>
        <v>0.21310000000000001</v>
      </c>
      <c r="DD259" s="24">
        <f t="shared" ref="DD259:DD302" si="124">CF259+CG259</f>
        <v>6.3500000000000001E-2</v>
      </c>
      <c r="DE259" s="24">
        <f t="shared" si="104"/>
        <v>7.9899999999999999E-2</v>
      </c>
    </row>
    <row r="260" spans="2:109" ht="15.5">
      <c r="B260" t="s">
        <v>363</v>
      </c>
      <c r="C260" t="s">
        <v>358</v>
      </c>
      <c r="D260" s="19" t="s">
        <v>359</v>
      </c>
      <c r="E260" s="57"/>
      <c r="F260" s="57"/>
      <c r="G260">
        <v>28.41</v>
      </c>
      <c r="H260">
        <v>8.19</v>
      </c>
      <c r="I260">
        <v>4.55</v>
      </c>
      <c r="J260">
        <v>13.18</v>
      </c>
      <c r="L260" s="19">
        <f t="shared" si="122"/>
        <v>11.862</v>
      </c>
      <c r="M260">
        <v>0.69</v>
      </c>
      <c r="N260" s="72"/>
      <c r="O260">
        <v>32.979999999999997</v>
      </c>
      <c r="W260">
        <v>7.91</v>
      </c>
      <c r="X260">
        <v>3.36</v>
      </c>
      <c r="BG260">
        <f t="shared" si="105"/>
        <v>0</v>
      </c>
      <c r="BH260">
        <f t="shared" si="106"/>
        <v>0</v>
      </c>
      <c r="BI260">
        <f t="shared" si="107"/>
        <v>0</v>
      </c>
      <c r="BJ260">
        <f t="shared" si="108"/>
        <v>0</v>
      </c>
      <c r="BK260">
        <f t="shared" si="109"/>
        <v>0</v>
      </c>
      <c r="BL260">
        <f t="shared" si="110"/>
        <v>0</v>
      </c>
      <c r="BM260">
        <f t="shared" si="111"/>
        <v>0</v>
      </c>
      <c r="BN260">
        <f t="shared" si="112"/>
        <v>0</v>
      </c>
      <c r="BO260">
        <f t="shared" si="113"/>
        <v>0</v>
      </c>
      <c r="BP260">
        <f t="shared" si="114"/>
        <v>0</v>
      </c>
      <c r="BQ260">
        <f t="shared" si="115"/>
        <v>0</v>
      </c>
      <c r="BR260">
        <f t="shared" si="116"/>
        <v>0</v>
      </c>
      <c r="BS260">
        <f t="shared" si="117"/>
        <v>0</v>
      </c>
      <c r="BT260">
        <f t="shared" si="118"/>
        <v>0</v>
      </c>
      <c r="BU260" t="e">
        <f t="shared" si="119"/>
        <v>#DIV/0!</v>
      </c>
      <c r="BV260" t="e">
        <f t="shared" si="120"/>
        <v>#DIV/0!</v>
      </c>
      <c r="BX260" t="e">
        <f t="shared" si="121"/>
        <v>#DIV/0!</v>
      </c>
      <c r="CF260">
        <v>6.9599999999999995E-2</v>
      </c>
      <c r="CG260">
        <v>0</v>
      </c>
      <c r="CH260">
        <v>0</v>
      </c>
      <c r="CI260">
        <v>6.4600000000000005E-2</v>
      </c>
      <c r="CJ260">
        <v>0.1583</v>
      </c>
      <c r="CK260">
        <v>0</v>
      </c>
      <c r="CL260">
        <v>0</v>
      </c>
      <c r="CM260">
        <v>7.8E-2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0.26579999999999998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0.35709999999999997</v>
      </c>
      <c r="CZ260">
        <v>0</v>
      </c>
      <c r="DA260">
        <v>0</v>
      </c>
      <c r="DB260">
        <v>0</v>
      </c>
      <c r="DC260" s="24">
        <f t="shared" si="123"/>
        <v>0.22289999999999999</v>
      </c>
      <c r="DD260" s="24">
        <f t="shared" si="124"/>
        <v>6.9599999999999995E-2</v>
      </c>
      <c r="DE260" s="24">
        <f t="shared" ref="DE260:DE300" si="125">CK260+CM260+CN260</f>
        <v>7.8E-2</v>
      </c>
    </row>
    <row r="261" spans="2:109" ht="15.5">
      <c r="B261" t="s">
        <v>364</v>
      </c>
      <c r="C261" t="s">
        <v>358</v>
      </c>
      <c r="D261" s="19" t="s">
        <v>359</v>
      </c>
      <c r="E261" s="57"/>
      <c r="F261" s="57"/>
      <c r="G261">
        <v>28.07</v>
      </c>
      <c r="H261">
        <v>8.57</v>
      </c>
      <c r="I261">
        <v>4.59</v>
      </c>
      <c r="J261">
        <v>13.27</v>
      </c>
      <c r="L261" s="19">
        <f t="shared" si="122"/>
        <v>11.943</v>
      </c>
      <c r="M261">
        <v>0.73</v>
      </c>
      <c r="N261" s="72"/>
      <c r="O261">
        <v>32.979999999999997</v>
      </c>
      <c r="W261">
        <v>7.66</v>
      </c>
      <c r="X261">
        <v>3.92</v>
      </c>
      <c r="BG261">
        <f t="shared" si="105"/>
        <v>0</v>
      </c>
      <c r="BH261">
        <f t="shared" si="106"/>
        <v>0</v>
      </c>
      <c r="BI261">
        <f t="shared" si="107"/>
        <v>0</v>
      </c>
      <c r="BJ261">
        <f t="shared" si="108"/>
        <v>0</v>
      </c>
      <c r="BK261">
        <f t="shared" si="109"/>
        <v>0</v>
      </c>
      <c r="BL261">
        <f t="shared" si="110"/>
        <v>0</v>
      </c>
      <c r="BM261">
        <f t="shared" si="111"/>
        <v>0</v>
      </c>
      <c r="BN261">
        <f t="shared" si="112"/>
        <v>0</v>
      </c>
      <c r="BO261">
        <f t="shared" si="113"/>
        <v>0</v>
      </c>
      <c r="BP261">
        <f t="shared" si="114"/>
        <v>0</v>
      </c>
      <c r="BQ261">
        <f t="shared" si="115"/>
        <v>0</v>
      </c>
      <c r="BR261">
        <f t="shared" si="116"/>
        <v>0</v>
      </c>
      <c r="BS261">
        <f t="shared" si="117"/>
        <v>0</v>
      </c>
      <c r="BT261">
        <f t="shared" si="118"/>
        <v>0</v>
      </c>
      <c r="BU261" t="e">
        <f t="shared" si="119"/>
        <v>#DIV/0!</v>
      </c>
      <c r="BV261" t="e">
        <f t="shared" si="120"/>
        <v>#DIV/0!</v>
      </c>
      <c r="BX261" t="e">
        <f t="shared" si="121"/>
        <v>#DIV/0!</v>
      </c>
      <c r="CF261">
        <v>8.1100000000000005E-2</v>
      </c>
      <c r="CG261">
        <v>0</v>
      </c>
      <c r="CH261">
        <v>0</v>
      </c>
      <c r="CI261">
        <v>0.08</v>
      </c>
      <c r="CJ261">
        <v>0.1484</v>
      </c>
      <c r="CK261">
        <v>2.9999999999999997E-4</v>
      </c>
      <c r="CL261">
        <v>0</v>
      </c>
      <c r="CM261">
        <v>8.9899999999999994E-2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0.25690000000000002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0.3427</v>
      </c>
      <c r="CZ261">
        <v>0</v>
      </c>
      <c r="DA261">
        <v>0</v>
      </c>
      <c r="DB261">
        <v>8.0000000000000004E-4</v>
      </c>
      <c r="DC261" s="24">
        <f t="shared" si="123"/>
        <v>0.22839999999999999</v>
      </c>
      <c r="DD261" s="24">
        <f t="shared" si="124"/>
        <v>8.1100000000000005E-2</v>
      </c>
      <c r="DE261" s="24">
        <f t="shared" si="125"/>
        <v>9.0199999999999989E-2</v>
      </c>
    </row>
    <row r="262" spans="2:109" ht="15.5">
      <c r="B262" t="s">
        <v>365</v>
      </c>
      <c r="C262" t="s">
        <v>358</v>
      </c>
      <c r="D262" s="19" t="s">
        <v>359</v>
      </c>
      <c r="E262" s="19"/>
      <c r="F262" s="19"/>
      <c r="G262">
        <v>27.75</v>
      </c>
      <c r="H262">
        <v>8.43</v>
      </c>
      <c r="I262">
        <v>4.41</v>
      </c>
      <c r="J262">
        <v>13.62</v>
      </c>
      <c r="L262" s="19">
        <f t="shared" si="122"/>
        <v>12.257999999999999</v>
      </c>
      <c r="M262">
        <v>0.73</v>
      </c>
      <c r="N262" s="72"/>
      <c r="O262">
        <v>32.75</v>
      </c>
      <c r="W262">
        <v>7.18</v>
      </c>
      <c r="X262">
        <v>3.93</v>
      </c>
      <c r="BG262">
        <f t="shared" si="105"/>
        <v>0</v>
      </c>
      <c r="BH262">
        <f t="shared" si="106"/>
        <v>0</v>
      </c>
      <c r="BI262">
        <f t="shared" si="107"/>
        <v>0</v>
      </c>
      <c r="BJ262">
        <f t="shared" si="108"/>
        <v>0</v>
      </c>
      <c r="BK262">
        <f t="shared" si="109"/>
        <v>0</v>
      </c>
      <c r="BL262">
        <f t="shared" si="110"/>
        <v>0</v>
      </c>
      <c r="BM262">
        <f t="shared" si="111"/>
        <v>0</v>
      </c>
      <c r="BN262">
        <f t="shared" si="112"/>
        <v>0</v>
      </c>
      <c r="BO262">
        <f t="shared" si="113"/>
        <v>0</v>
      </c>
      <c r="BP262">
        <f t="shared" si="114"/>
        <v>0</v>
      </c>
      <c r="BQ262">
        <f t="shared" si="115"/>
        <v>0</v>
      </c>
      <c r="BR262">
        <f t="shared" si="116"/>
        <v>0</v>
      </c>
      <c r="BS262">
        <f t="shared" si="117"/>
        <v>0</v>
      </c>
      <c r="BT262">
        <f t="shared" si="118"/>
        <v>0</v>
      </c>
      <c r="BU262" t="e">
        <f t="shared" si="119"/>
        <v>#DIV/0!</v>
      </c>
      <c r="BV262" t="e">
        <f t="shared" si="120"/>
        <v>#DIV/0!</v>
      </c>
      <c r="BX262" t="e">
        <f t="shared" si="121"/>
        <v>#DIV/0!</v>
      </c>
      <c r="CF262">
        <v>8.2100000000000006E-2</v>
      </c>
      <c r="CG262">
        <v>0</v>
      </c>
      <c r="CH262">
        <v>0</v>
      </c>
      <c r="CI262">
        <v>8.7599999999999997E-2</v>
      </c>
      <c r="CJ262">
        <v>0.14069999999999999</v>
      </c>
      <c r="CK262">
        <v>0</v>
      </c>
      <c r="CL262">
        <v>0</v>
      </c>
      <c r="CM262">
        <v>8.7099999999999997E-2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0.24329999999999999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0.3518</v>
      </c>
      <c r="CZ262">
        <v>0</v>
      </c>
      <c r="DA262">
        <v>0</v>
      </c>
      <c r="DB262">
        <v>0</v>
      </c>
      <c r="DC262" s="24">
        <f t="shared" si="123"/>
        <v>0.2283</v>
      </c>
      <c r="DD262" s="24">
        <f t="shared" si="124"/>
        <v>8.2100000000000006E-2</v>
      </c>
      <c r="DE262" s="24">
        <f t="shared" si="125"/>
        <v>8.7099999999999997E-2</v>
      </c>
    </row>
    <row r="263" spans="2:109" ht="15.5">
      <c r="B263" t="s">
        <v>366</v>
      </c>
      <c r="C263" t="s">
        <v>358</v>
      </c>
      <c r="D263" s="19" t="s">
        <v>359</v>
      </c>
      <c r="E263" s="57"/>
      <c r="F263" s="57"/>
      <c r="G263">
        <v>28.05</v>
      </c>
      <c r="H263">
        <v>8.2899999999999991</v>
      </c>
      <c r="I263">
        <v>4.46</v>
      </c>
      <c r="J263">
        <v>13.12</v>
      </c>
      <c r="L263" s="19">
        <f t="shared" si="122"/>
        <v>11.808</v>
      </c>
      <c r="M263">
        <v>0.71</v>
      </c>
      <c r="N263" s="72"/>
      <c r="O263">
        <v>32.94</v>
      </c>
      <c r="W263">
        <v>7.95</v>
      </c>
      <c r="X263">
        <v>3.81</v>
      </c>
      <c r="BG263">
        <f t="shared" si="105"/>
        <v>0</v>
      </c>
      <c r="BH263">
        <f t="shared" si="106"/>
        <v>0</v>
      </c>
      <c r="BI263">
        <f t="shared" si="107"/>
        <v>0</v>
      </c>
      <c r="BJ263">
        <f t="shared" si="108"/>
        <v>0</v>
      </c>
      <c r="BK263">
        <f t="shared" si="109"/>
        <v>0</v>
      </c>
      <c r="BL263">
        <f t="shared" si="110"/>
        <v>0</v>
      </c>
      <c r="BM263">
        <f t="shared" si="111"/>
        <v>0</v>
      </c>
      <c r="BN263">
        <f t="shared" si="112"/>
        <v>0</v>
      </c>
      <c r="BO263">
        <f t="shared" si="113"/>
        <v>0</v>
      </c>
      <c r="BP263">
        <f t="shared" si="114"/>
        <v>0</v>
      </c>
      <c r="BQ263">
        <f t="shared" si="115"/>
        <v>0</v>
      </c>
      <c r="BR263">
        <f t="shared" si="116"/>
        <v>0</v>
      </c>
      <c r="BS263">
        <f t="shared" si="117"/>
        <v>0</v>
      </c>
      <c r="BT263">
        <f t="shared" si="118"/>
        <v>0</v>
      </c>
      <c r="BU263" t="e">
        <f t="shared" si="119"/>
        <v>#DIV/0!</v>
      </c>
      <c r="BV263" t="e">
        <f t="shared" si="120"/>
        <v>#DIV/0!</v>
      </c>
      <c r="BX263" t="e">
        <f t="shared" si="121"/>
        <v>#DIV/0!</v>
      </c>
      <c r="CF263">
        <v>7.9100000000000004E-2</v>
      </c>
      <c r="CG263">
        <v>0</v>
      </c>
      <c r="CH263">
        <v>0</v>
      </c>
      <c r="CI263">
        <v>8.14E-2</v>
      </c>
      <c r="CJ263">
        <v>0.14480000000000001</v>
      </c>
      <c r="CK263">
        <v>0</v>
      </c>
      <c r="CL263">
        <v>0</v>
      </c>
      <c r="CM263">
        <v>7.9000000000000001E-2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0.26769999999999999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0.3392</v>
      </c>
      <c r="CZ263">
        <v>0</v>
      </c>
      <c r="DA263">
        <v>0</v>
      </c>
      <c r="DB263">
        <v>0</v>
      </c>
      <c r="DC263" s="24">
        <f t="shared" si="123"/>
        <v>0.22620000000000001</v>
      </c>
      <c r="DD263" s="24">
        <f t="shared" si="124"/>
        <v>7.9100000000000004E-2</v>
      </c>
      <c r="DE263" s="24">
        <f t="shared" si="125"/>
        <v>7.9000000000000001E-2</v>
      </c>
    </row>
    <row r="264" spans="2:109" ht="15.5">
      <c r="B264" t="s">
        <v>367</v>
      </c>
      <c r="C264" t="s">
        <v>358</v>
      </c>
      <c r="D264" s="19" t="s">
        <v>359</v>
      </c>
      <c r="G264">
        <v>28.46</v>
      </c>
      <c r="H264">
        <v>8.24</v>
      </c>
      <c r="I264">
        <v>4.5</v>
      </c>
      <c r="J264">
        <v>13.16</v>
      </c>
      <c r="L264" s="19">
        <f t="shared" si="122"/>
        <v>11.844000000000001</v>
      </c>
      <c r="M264">
        <v>0.68</v>
      </c>
      <c r="N264" s="72"/>
      <c r="O264">
        <v>32.89</v>
      </c>
      <c r="W264">
        <v>7.78</v>
      </c>
      <c r="X264">
        <v>3.38</v>
      </c>
      <c r="BG264">
        <f t="shared" ref="BG264:BG269" si="126">AH264/BG$2</f>
        <v>0</v>
      </c>
      <c r="BH264">
        <f t="shared" ref="BH264:BH269" si="127">AI264/BH$2</f>
        <v>0</v>
      </c>
      <c r="BI264">
        <f t="shared" ref="BI264:BI269" si="128">AJ264/BI$2</f>
        <v>0</v>
      </c>
      <c r="BJ264">
        <f t="shared" ref="BJ264:BJ269" si="129">AK264/BJ$2</f>
        <v>0</v>
      </c>
      <c r="BK264">
        <f t="shared" ref="BK264:BK269" si="130">AL264/BK$2</f>
        <v>0</v>
      </c>
      <c r="BL264">
        <f t="shared" ref="BL264:BL269" si="131">AM264/BL$2</f>
        <v>0</v>
      </c>
      <c r="BM264">
        <f t="shared" ref="BM264:BM269" si="132">AN264/BM$2</f>
        <v>0</v>
      </c>
      <c r="BN264">
        <f t="shared" ref="BN264:BN269" si="133">AO264/BN$2</f>
        <v>0</v>
      </c>
      <c r="BO264">
        <f t="shared" ref="BO264:BO269" si="134">AP264/BO$2</f>
        <v>0</v>
      </c>
      <c r="BP264">
        <f t="shared" ref="BP264:BP269" si="135">AQ264/BP$2</f>
        <v>0</v>
      </c>
      <c r="BQ264">
        <f t="shared" ref="BQ264:BQ269" si="136">AR264/BQ$2</f>
        <v>0</v>
      </c>
      <c r="BR264">
        <f t="shared" ref="BR264:BR269" si="137">AS264/BR$2</f>
        <v>0</v>
      </c>
      <c r="BS264">
        <f t="shared" ref="BS264:BS269" si="138">AT264/BS$2</f>
        <v>0</v>
      </c>
      <c r="BT264">
        <f t="shared" ref="BT264:BT269" si="139">AU264/BT$2</f>
        <v>0</v>
      </c>
      <c r="BU264" t="e">
        <f t="shared" ref="BU264:BU269" si="140">BK264/BS264</f>
        <v>#DIV/0!</v>
      </c>
      <c r="BV264" t="e">
        <f t="shared" ref="BV264:BV269" si="141">BK264/BG264</f>
        <v>#DIV/0!</v>
      </c>
      <c r="BX264" t="e">
        <f t="shared" ref="BX264:BX269" si="142">BG264/BS264</f>
        <v>#DIV/0!</v>
      </c>
      <c r="CF264">
        <v>7.0199999999999999E-2</v>
      </c>
      <c r="CG264">
        <v>0</v>
      </c>
      <c r="CH264">
        <v>0</v>
      </c>
      <c r="CI264">
        <v>6.2E-2</v>
      </c>
      <c r="CJ264">
        <v>0.15570000000000001</v>
      </c>
      <c r="CK264">
        <v>4.4999999999999997E-3</v>
      </c>
      <c r="CL264">
        <v>0</v>
      </c>
      <c r="CM264">
        <v>8.6300000000000002E-2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0.26200000000000001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0.35749999999999998</v>
      </c>
      <c r="CZ264">
        <v>0</v>
      </c>
      <c r="DA264">
        <v>0</v>
      </c>
      <c r="DB264">
        <v>0</v>
      </c>
      <c r="DC264" s="24">
        <f t="shared" si="123"/>
        <v>0.2177</v>
      </c>
      <c r="DD264" s="24">
        <f t="shared" si="124"/>
        <v>7.0199999999999999E-2</v>
      </c>
      <c r="DE264" s="24">
        <f t="shared" si="125"/>
        <v>9.0800000000000006E-2</v>
      </c>
    </row>
    <row r="265" spans="2:109" ht="15.5">
      <c r="B265" t="s">
        <v>368</v>
      </c>
      <c r="C265" t="s">
        <v>358</v>
      </c>
      <c r="D265" s="19" t="s">
        <v>359</v>
      </c>
      <c r="G265">
        <v>27.73</v>
      </c>
      <c r="H265">
        <v>9.08</v>
      </c>
      <c r="I265">
        <v>4.57</v>
      </c>
      <c r="J265">
        <v>13.54</v>
      </c>
      <c r="L265" s="19">
        <f t="shared" si="122"/>
        <v>12.186</v>
      </c>
      <c r="M265">
        <v>0.72</v>
      </c>
      <c r="N265" s="72"/>
      <c r="O265">
        <v>32.86</v>
      </c>
      <c r="W265">
        <v>7.31</v>
      </c>
      <c r="X265">
        <v>3.85</v>
      </c>
      <c r="BG265">
        <f t="shared" si="126"/>
        <v>0</v>
      </c>
      <c r="BH265">
        <f t="shared" si="127"/>
        <v>0</v>
      </c>
      <c r="BI265">
        <f t="shared" si="128"/>
        <v>0</v>
      </c>
      <c r="BJ265">
        <f t="shared" si="129"/>
        <v>0</v>
      </c>
      <c r="BK265">
        <f t="shared" si="130"/>
        <v>0</v>
      </c>
      <c r="BL265">
        <f t="shared" si="131"/>
        <v>0</v>
      </c>
      <c r="BM265">
        <f t="shared" si="132"/>
        <v>0</v>
      </c>
      <c r="BN265">
        <f t="shared" si="133"/>
        <v>0</v>
      </c>
      <c r="BO265">
        <f t="shared" si="134"/>
        <v>0</v>
      </c>
      <c r="BP265">
        <f t="shared" si="135"/>
        <v>0</v>
      </c>
      <c r="BQ265">
        <f t="shared" si="136"/>
        <v>0</v>
      </c>
      <c r="BR265">
        <f t="shared" si="137"/>
        <v>0</v>
      </c>
      <c r="BS265">
        <f t="shared" si="138"/>
        <v>0</v>
      </c>
      <c r="BT265">
        <f t="shared" si="139"/>
        <v>0</v>
      </c>
      <c r="BU265" t="e">
        <f t="shared" si="140"/>
        <v>#DIV/0!</v>
      </c>
      <c r="BV265" t="e">
        <f t="shared" si="141"/>
        <v>#DIV/0!</v>
      </c>
      <c r="BX265" t="e">
        <f t="shared" si="142"/>
        <v>#DIV/0!</v>
      </c>
      <c r="CF265">
        <v>7.9799999999999996E-2</v>
      </c>
      <c r="CG265">
        <v>0</v>
      </c>
      <c r="CH265">
        <v>0</v>
      </c>
      <c r="CI265">
        <v>9.1999999999999998E-2</v>
      </c>
      <c r="CJ265">
        <v>0.1492</v>
      </c>
      <c r="CK265">
        <v>1.34E-2</v>
      </c>
      <c r="CL265">
        <v>0</v>
      </c>
      <c r="CM265">
        <v>8.5300000000000001E-2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0.2457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0.3327</v>
      </c>
      <c r="CZ265">
        <v>0</v>
      </c>
      <c r="DA265">
        <v>0</v>
      </c>
      <c r="DB265">
        <v>2E-3</v>
      </c>
      <c r="DC265" s="24">
        <f t="shared" si="123"/>
        <v>0.2412</v>
      </c>
      <c r="DD265" s="24">
        <f t="shared" si="124"/>
        <v>7.9799999999999996E-2</v>
      </c>
      <c r="DE265" s="24">
        <f t="shared" si="125"/>
        <v>9.8699999999999996E-2</v>
      </c>
    </row>
    <row r="266" spans="2:109" ht="15.5">
      <c r="B266" t="s">
        <v>369</v>
      </c>
      <c r="C266" t="s">
        <v>358</v>
      </c>
      <c r="D266" s="19" t="s">
        <v>359</v>
      </c>
      <c r="E266" s="19"/>
      <c r="F266" s="19"/>
      <c r="G266">
        <v>28.22</v>
      </c>
      <c r="H266">
        <v>8.2100000000000009</v>
      </c>
      <c r="I266">
        <v>4.53</v>
      </c>
      <c r="J266">
        <v>12.29</v>
      </c>
      <c r="L266" s="19">
        <f t="shared" si="122"/>
        <v>11.061</v>
      </c>
      <c r="M266">
        <v>0.69</v>
      </c>
      <c r="N266" s="72"/>
      <c r="O266">
        <v>33.21</v>
      </c>
      <c r="W266">
        <v>8.36</v>
      </c>
      <c r="X266">
        <v>3.69</v>
      </c>
      <c r="BG266">
        <f t="shared" si="126"/>
        <v>0</v>
      </c>
      <c r="BH266">
        <f t="shared" si="127"/>
        <v>0</v>
      </c>
      <c r="BI266">
        <f t="shared" si="128"/>
        <v>0</v>
      </c>
      <c r="BJ266">
        <f t="shared" si="129"/>
        <v>0</v>
      </c>
      <c r="BK266">
        <f t="shared" si="130"/>
        <v>0</v>
      </c>
      <c r="BL266">
        <f t="shared" si="131"/>
        <v>0</v>
      </c>
      <c r="BM266">
        <f t="shared" si="132"/>
        <v>0</v>
      </c>
      <c r="BN266">
        <f t="shared" si="133"/>
        <v>0</v>
      </c>
      <c r="BO266">
        <f t="shared" si="134"/>
        <v>0</v>
      </c>
      <c r="BP266">
        <f t="shared" si="135"/>
        <v>0</v>
      </c>
      <c r="BQ266">
        <f t="shared" si="136"/>
        <v>0</v>
      </c>
      <c r="BR266">
        <f t="shared" si="137"/>
        <v>0</v>
      </c>
      <c r="BS266">
        <f t="shared" si="138"/>
        <v>0</v>
      </c>
      <c r="BT266">
        <f t="shared" si="139"/>
        <v>0</v>
      </c>
      <c r="BU266" t="e">
        <f t="shared" si="140"/>
        <v>#DIV/0!</v>
      </c>
      <c r="BV266" t="e">
        <f t="shared" si="141"/>
        <v>#DIV/0!</v>
      </c>
      <c r="BX266" t="e">
        <f t="shared" si="142"/>
        <v>#DIV/0!</v>
      </c>
      <c r="CF266">
        <v>7.6600000000000001E-2</v>
      </c>
      <c r="CG266">
        <v>0</v>
      </c>
      <c r="CH266">
        <v>0</v>
      </c>
      <c r="CI266">
        <v>7.2099999999999997E-2</v>
      </c>
      <c r="CJ266">
        <v>0.15060000000000001</v>
      </c>
      <c r="CK266">
        <v>0</v>
      </c>
      <c r="CL266">
        <v>0</v>
      </c>
      <c r="CM266">
        <v>8.0299999999999996E-2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0.28120000000000001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0.3216</v>
      </c>
      <c r="CZ266">
        <v>0</v>
      </c>
      <c r="DA266">
        <v>0</v>
      </c>
      <c r="DB266">
        <v>0</v>
      </c>
      <c r="DC266" s="24">
        <f t="shared" si="123"/>
        <v>0.22270000000000001</v>
      </c>
      <c r="DD266" s="24">
        <f t="shared" si="124"/>
        <v>7.6600000000000001E-2</v>
      </c>
      <c r="DE266" s="24">
        <f t="shared" si="125"/>
        <v>8.0299999999999996E-2</v>
      </c>
    </row>
    <row r="267" spans="2:109" ht="15.5">
      <c r="B267" t="s">
        <v>370</v>
      </c>
      <c r="C267" t="s">
        <v>358</v>
      </c>
      <c r="D267" s="19" t="s">
        <v>359</v>
      </c>
      <c r="E267" s="57"/>
      <c r="F267" s="57"/>
      <c r="G267">
        <v>28.08</v>
      </c>
      <c r="H267">
        <v>8.3699999999999992</v>
      </c>
      <c r="I267">
        <v>4.58</v>
      </c>
      <c r="J267">
        <v>13.22</v>
      </c>
      <c r="L267" s="19">
        <f t="shared" si="122"/>
        <v>11.898000000000001</v>
      </c>
      <c r="M267">
        <v>0.73</v>
      </c>
      <c r="N267" s="72"/>
      <c r="O267">
        <v>32.85</v>
      </c>
      <c r="W267">
        <v>7.58</v>
      </c>
      <c r="X267">
        <v>3.63</v>
      </c>
      <c r="BG267">
        <f t="shared" si="126"/>
        <v>0</v>
      </c>
      <c r="BH267">
        <f t="shared" si="127"/>
        <v>0</v>
      </c>
      <c r="BI267">
        <f t="shared" si="128"/>
        <v>0</v>
      </c>
      <c r="BJ267">
        <f t="shared" si="129"/>
        <v>0</v>
      </c>
      <c r="BK267">
        <f t="shared" si="130"/>
        <v>0</v>
      </c>
      <c r="BL267">
        <f t="shared" si="131"/>
        <v>0</v>
      </c>
      <c r="BM267">
        <f t="shared" si="132"/>
        <v>0</v>
      </c>
      <c r="BN267">
        <f t="shared" si="133"/>
        <v>0</v>
      </c>
      <c r="BO267">
        <f t="shared" si="134"/>
        <v>0</v>
      </c>
      <c r="BP267">
        <f t="shared" si="135"/>
        <v>0</v>
      </c>
      <c r="BQ267">
        <f t="shared" si="136"/>
        <v>0</v>
      </c>
      <c r="BR267">
        <f t="shared" si="137"/>
        <v>0</v>
      </c>
      <c r="BS267">
        <f t="shared" si="138"/>
        <v>0</v>
      </c>
      <c r="BT267">
        <f t="shared" si="139"/>
        <v>0</v>
      </c>
      <c r="BU267" t="e">
        <f t="shared" si="140"/>
        <v>#DIV/0!</v>
      </c>
      <c r="BV267" t="e">
        <f t="shared" si="141"/>
        <v>#DIV/0!</v>
      </c>
      <c r="BX267" t="e">
        <f t="shared" si="142"/>
        <v>#DIV/0!</v>
      </c>
      <c r="CF267">
        <v>7.5499999999999998E-2</v>
      </c>
      <c r="CG267">
        <v>0</v>
      </c>
      <c r="CH267">
        <v>0</v>
      </c>
      <c r="CI267">
        <v>7.1999999999999995E-2</v>
      </c>
      <c r="CJ267">
        <v>0.1547</v>
      </c>
      <c r="CK267">
        <v>0</v>
      </c>
      <c r="CL267">
        <v>0</v>
      </c>
      <c r="CM267">
        <v>8.3799999999999999E-2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0.25559999999999999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0.35249999999999998</v>
      </c>
      <c r="CZ267">
        <v>0</v>
      </c>
      <c r="DA267">
        <v>0</v>
      </c>
      <c r="DB267">
        <v>0</v>
      </c>
      <c r="DC267" s="24">
        <f t="shared" si="123"/>
        <v>0.22670000000000001</v>
      </c>
      <c r="DD267" s="24">
        <f t="shared" si="124"/>
        <v>7.5499999999999998E-2</v>
      </c>
      <c r="DE267" s="24">
        <f t="shared" si="125"/>
        <v>8.3799999999999999E-2</v>
      </c>
    </row>
    <row r="268" spans="2:109" ht="15.5">
      <c r="B268" t="s">
        <v>371</v>
      </c>
      <c r="C268" t="s">
        <v>358</v>
      </c>
      <c r="D268" s="19" t="s">
        <v>359</v>
      </c>
      <c r="E268" s="19"/>
      <c r="F268" s="19"/>
      <c r="G268">
        <v>28.45</v>
      </c>
      <c r="H268">
        <v>8.15</v>
      </c>
      <c r="I268">
        <v>4.63</v>
      </c>
      <c r="J268">
        <v>12.39</v>
      </c>
      <c r="L268" s="19">
        <f t="shared" si="122"/>
        <v>11.151000000000002</v>
      </c>
      <c r="M268">
        <v>0.75</v>
      </c>
      <c r="N268" s="72"/>
      <c r="O268">
        <v>33.06</v>
      </c>
      <c r="W268">
        <v>8.52</v>
      </c>
      <c r="X268">
        <v>3.75</v>
      </c>
      <c r="BG268">
        <f t="shared" si="126"/>
        <v>0</v>
      </c>
      <c r="BH268">
        <f t="shared" si="127"/>
        <v>0</v>
      </c>
      <c r="BI268">
        <f t="shared" si="128"/>
        <v>0</v>
      </c>
      <c r="BJ268">
        <f t="shared" si="129"/>
        <v>0</v>
      </c>
      <c r="BK268">
        <f t="shared" si="130"/>
        <v>0</v>
      </c>
      <c r="BL268">
        <f t="shared" si="131"/>
        <v>0</v>
      </c>
      <c r="BM268">
        <f t="shared" si="132"/>
        <v>0</v>
      </c>
      <c r="BN268">
        <f t="shared" si="133"/>
        <v>0</v>
      </c>
      <c r="BO268">
        <f t="shared" si="134"/>
        <v>0</v>
      </c>
      <c r="BP268">
        <f t="shared" si="135"/>
        <v>0</v>
      </c>
      <c r="BQ268">
        <f t="shared" si="136"/>
        <v>0</v>
      </c>
      <c r="BR268">
        <f t="shared" si="137"/>
        <v>0</v>
      </c>
      <c r="BS268">
        <f t="shared" si="138"/>
        <v>0</v>
      </c>
      <c r="BT268">
        <f t="shared" si="139"/>
        <v>0</v>
      </c>
      <c r="BU268" t="e">
        <f t="shared" si="140"/>
        <v>#DIV/0!</v>
      </c>
      <c r="BV268" t="e">
        <f t="shared" si="141"/>
        <v>#DIV/0!</v>
      </c>
      <c r="BX268" t="e">
        <f t="shared" si="142"/>
        <v>#DIV/0!</v>
      </c>
      <c r="CF268">
        <v>7.7399999999999997E-2</v>
      </c>
      <c r="CG268">
        <v>0</v>
      </c>
      <c r="CH268">
        <v>0</v>
      </c>
      <c r="CI268">
        <v>6.4299999999999996E-2</v>
      </c>
      <c r="CJ268">
        <v>0.15359999999999999</v>
      </c>
      <c r="CK268">
        <v>0</v>
      </c>
      <c r="CL268">
        <v>0</v>
      </c>
      <c r="CM268">
        <v>8.3299999999999999E-2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0.28520000000000001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0.33050000000000002</v>
      </c>
      <c r="CZ268">
        <v>0</v>
      </c>
      <c r="DA268">
        <v>0</v>
      </c>
      <c r="DB268">
        <v>0</v>
      </c>
      <c r="DC268" s="24">
        <f t="shared" si="123"/>
        <v>0.21789999999999998</v>
      </c>
      <c r="DD268" s="24">
        <f t="shared" si="124"/>
        <v>7.7399999999999997E-2</v>
      </c>
      <c r="DE268" s="24">
        <f t="shared" si="125"/>
        <v>8.3299999999999999E-2</v>
      </c>
    </row>
    <row r="269" spans="2:109" ht="15.5">
      <c r="B269" t="s">
        <v>372</v>
      </c>
      <c r="C269" t="s">
        <v>358</v>
      </c>
      <c r="D269" s="19" t="s">
        <v>359</v>
      </c>
      <c r="E269" s="57"/>
      <c r="F269" s="57"/>
      <c r="G269">
        <v>28.54</v>
      </c>
      <c r="H269">
        <v>8.0399999999999991</v>
      </c>
      <c r="I269">
        <v>4.5599999999999996</v>
      </c>
      <c r="J269">
        <v>12.32</v>
      </c>
      <c r="L269" s="19">
        <f t="shared" si="122"/>
        <v>11.088000000000001</v>
      </c>
      <c r="M269">
        <v>0.68</v>
      </c>
      <c r="N269" s="72"/>
      <c r="O269">
        <v>33.049999999999997</v>
      </c>
      <c r="W269">
        <v>8.73</v>
      </c>
      <c r="X269">
        <v>3.18</v>
      </c>
      <c r="BG269">
        <f t="shared" si="126"/>
        <v>0</v>
      </c>
      <c r="BH269">
        <f t="shared" si="127"/>
        <v>0</v>
      </c>
      <c r="BI269">
        <f t="shared" si="128"/>
        <v>0</v>
      </c>
      <c r="BJ269">
        <f t="shared" si="129"/>
        <v>0</v>
      </c>
      <c r="BK269">
        <f t="shared" si="130"/>
        <v>0</v>
      </c>
      <c r="BL269">
        <f t="shared" si="131"/>
        <v>0</v>
      </c>
      <c r="BM269">
        <f t="shared" si="132"/>
        <v>0</v>
      </c>
      <c r="BN269">
        <f t="shared" si="133"/>
        <v>0</v>
      </c>
      <c r="BO269">
        <f t="shared" si="134"/>
        <v>0</v>
      </c>
      <c r="BP269">
        <f t="shared" si="135"/>
        <v>0</v>
      </c>
      <c r="BQ269">
        <f t="shared" si="136"/>
        <v>0</v>
      </c>
      <c r="BR269">
        <f t="shared" si="137"/>
        <v>0</v>
      </c>
      <c r="BS269">
        <f t="shared" si="138"/>
        <v>0</v>
      </c>
      <c r="BT269">
        <f t="shared" si="139"/>
        <v>0</v>
      </c>
      <c r="BU269" t="e">
        <f t="shared" si="140"/>
        <v>#DIV/0!</v>
      </c>
      <c r="BV269" t="e">
        <f t="shared" si="141"/>
        <v>#DIV/0!</v>
      </c>
      <c r="BX269" t="e">
        <f t="shared" si="142"/>
        <v>#DIV/0!</v>
      </c>
      <c r="CF269">
        <v>6.59E-2</v>
      </c>
      <c r="CG269">
        <v>0</v>
      </c>
      <c r="CH269">
        <v>0</v>
      </c>
      <c r="CI269">
        <v>5.8599999999999999E-2</v>
      </c>
      <c r="CJ269">
        <v>0.16250000000000001</v>
      </c>
      <c r="CK269">
        <v>0</v>
      </c>
      <c r="CL269">
        <v>0</v>
      </c>
      <c r="CM269">
        <v>7.1999999999999995E-2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0.29339999999999999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0.33550000000000002</v>
      </c>
      <c r="CZ269">
        <v>0</v>
      </c>
      <c r="DA269">
        <v>0</v>
      </c>
      <c r="DB269">
        <v>0</v>
      </c>
      <c r="DC269" s="24">
        <f t="shared" si="123"/>
        <v>0.22110000000000002</v>
      </c>
      <c r="DD269" s="24">
        <f t="shared" si="124"/>
        <v>6.59E-2</v>
      </c>
      <c r="DE269" s="24">
        <f t="shared" si="125"/>
        <v>7.1999999999999995E-2</v>
      </c>
    </row>
    <row r="270" spans="2:109" ht="15.5">
      <c r="B270" t="s">
        <v>373</v>
      </c>
      <c r="C270" t="s">
        <v>358</v>
      </c>
      <c r="D270" s="19" t="s">
        <v>359</v>
      </c>
      <c r="E270" s="19"/>
      <c r="F270" s="19"/>
      <c r="G270">
        <v>27.99</v>
      </c>
      <c r="H270">
        <v>8.49</v>
      </c>
      <c r="I270">
        <v>4.5999999999999996</v>
      </c>
      <c r="J270">
        <v>13.3</v>
      </c>
      <c r="L270" s="19">
        <f t="shared" si="122"/>
        <v>11.97</v>
      </c>
      <c r="M270">
        <v>0.73</v>
      </c>
      <c r="N270" s="72"/>
      <c r="O270">
        <v>33.049999999999997</v>
      </c>
      <c r="W270">
        <v>7.5</v>
      </c>
      <c r="X270">
        <v>3.55</v>
      </c>
      <c r="BG270">
        <f t="shared" ref="BG270:BG333" si="143">AH270/BG$2</f>
        <v>0</v>
      </c>
      <c r="BH270">
        <f t="shared" ref="BH270:BH333" si="144">AI270/BH$2</f>
        <v>0</v>
      </c>
      <c r="BI270">
        <f t="shared" ref="BI270:BI333" si="145">AJ270/BI$2</f>
        <v>0</v>
      </c>
      <c r="BJ270">
        <f t="shared" ref="BJ270:BJ333" si="146">AK270/BJ$2</f>
        <v>0</v>
      </c>
      <c r="BK270">
        <f t="shared" ref="BK270:BK333" si="147">AL270/BK$2</f>
        <v>0</v>
      </c>
      <c r="BL270">
        <f t="shared" ref="BL270:BL333" si="148">AM270/BL$2</f>
        <v>0</v>
      </c>
      <c r="BM270">
        <f t="shared" ref="BM270:BM333" si="149">AN270/BM$2</f>
        <v>0</v>
      </c>
      <c r="BN270">
        <f t="shared" ref="BN270:BN333" si="150">AO270/BN$2</f>
        <v>0</v>
      </c>
      <c r="BO270">
        <f t="shared" ref="BO270:BO333" si="151">AP270/BO$2</f>
        <v>0</v>
      </c>
      <c r="BP270">
        <f t="shared" ref="BP270:BP333" si="152">AQ270/BP$2</f>
        <v>0</v>
      </c>
      <c r="BQ270">
        <f t="shared" ref="BQ270:BQ333" si="153">AR270/BQ$2</f>
        <v>0</v>
      </c>
      <c r="BR270">
        <f t="shared" ref="BR270:BR333" si="154">AS270/BR$2</f>
        <v>0</v>
      </c>
      <c r="BS270">
        <f t="shared" ref="BS270:BS333" si="155">AT270/BS$2</f>
        <v>0</v>
      </c>
      <c r="BT270">
        <f t="shared" ref="BT270:BT333" si="156">AU270/BT$2</f>
        <v>0</v>
      </c>
      <c r="BU270" t="e">
        <f t="shared" ref="BU270:BU333" si="157">BK270/BS270</f>
        <v>#DIV/0!</v>
      </c>
      <c r="BV270" t="e">
        <f t="shared" ref="BV270:BV333" si="158">BK270/BG270</f>
        <v>#DIV/0!</v>
      </c>
      <c r="BX270" t="e">
        <f t="shared" ref="BX270:BX333" si="159">BG270/BS270</f>
        <v>#DIV/0!</v>
      </c>
      <c r="CF270">
        <v>7.3700000000000002E-2</v>
      </c>
      <c r="CG270">
        <v>0</v>
      </c>
      <c r="CH270">
        <v>0</v>
      </c>
      <c r="CI270">
        <v>7.7799999999999994E-2</v>
      </c>
      <c r="CJ270">
        <v>0.15709999999999999</v>
      </c>
      <c r="CK270">
        <v>0</v>
      </c>
      <c r="CL270">
        <v>0</v>
      </c>
      <c r="CM270">
        <v>7.3999999999999996E-2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0.25240000000000001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0.3483</v>
      </c>
      <c r="CZ270">
        <v>0</v>
      </c>
      <c r="DA270">
        <v>0</v>
      </c>
      <c r="DB270">
        <v>0</v>
      </c>
      <c r="DC270" s="24">
        <f t="shared" si="123"/>
        <v>0.2349</v>
      </c>
      <c r="DD270" s="24">
        <f t="shared" si="124"/>
        <v>7.3700000000000002E-2</v>
      </c>
      <c r="DE270" s="24">
        <f t="shared" si="125"/>
        <v>7.3999999999999996E-2</v>
      </c>
    </row>
    <row r="271" spans="2:109" ht="15.5"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72"/>
      <c r="O271" s="19"/>
      <c r="BG271">
        <f t="shared" si="143"/>
        <v>0</v>
      </c>
      <c r="BH271">
        <f t="shared" si="144"/>
        <v>0</v>
      </c>
      <c r="BI271">
        <f t="shared" si="145"/>
        <v>0</v>
      </c>
      <c r="BJ271">
        <f t="shared" si="146"/>
        <v>0</v>
      </c>
      <c r="BK271">
        <f t="shared" si="147"/>
        <v>0</v>
      </c>
      <c r="BL271">
        <f t="shared" si="148"/>
        <v>0</v>
      </c>
      <c r="BM271">
        <f t="shared" si="149"/>
        <v>0</v>
      </c>
      <c r="BN271">
        <f t="shared" si="150"/>
        <v>0</v>
      </c>
      <c r="BO271">
        <f t="shared" si="151"/>
        <v>0</v>
      </c>
      <c r="BP271">
        <f t="shared" si="152"/>
        <v>0</v>
      </c>
      <c r="BQ271">
        <f t="shared" si="153"/>
        <v>0</v>
      </c>
      <c r="BR271">
        <f t="shared" si="154"/>
        <v>0</v>
      </c>
      <c r="BS271">
        <f t="shared" si="155"/>
        <v>0</v>
      </c>
      <c r="BT271">
        <f t="shared" si="156"/>
        <v>0</v>
      </c>
      <c r="BU271" t="e">
        <f t="shared" si="157"/>
        <v>#DIV/0!</v>
      </c>
      <c r="BV271" t="e">
        <f t="shared" si="158"/>
        <v>#DIV/0!</v>
      </c>
      <c r="BX271" t="e">
        <f t="shared" si="159"/>
        <v>#DIV/0!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 s="24">
        <f t="shared" si="123"/>
        <v>0</v>
      </c>
      <c r="DD271" s="24">
        <f t="shared" si="124"/>
        <v>0</v>
      </c>
      <c r="DE271" s="24">
        <f t="shared" si="125"/>
        <v>0</v>
      </c>
    </row>
    <row r="272" spans="2:109" ht="45">
      <c r="D272" s="19" t="s">
        <v>375</v>
      </c>
      <c r="E272" s="19"/>
      <c r="F272" s="19"/>
      <c r="G272">
        <v>28.72</v>
      </c>
      <c r="H272">
        <v>11.74</v>
      </c>
      <c r="I272">
        <v>0.8</v>
      </c>
      <c r="J272">
        <v>18.649999999999999</v>
      </c>
      <c r="K272">
        <v>1.82</v>
      </c>
      <c r="L272">
        <f>K272+J272*0.9</f>
        <v>18.605</v>
      </c>
      <c r="M272">
        <v>1.94</v>
      </c>
      <c r="N272">
        <v>0.24</v>
      </c>
      <c r="O272">
        <v>32.450000000000003</v>
      </c>
      <c r="X272">
        <v>3.56</v>
      </c>
      <c r="BG272">
        <f t="shared" si="143"/>
        <v>0</v>
      </c>
      <c r="BH272">
        <f t="shared" si="144"/>
        <v>0</v>
      </c>
      <c r="BI272">
        <f t="shared" si="145"/>
        <v>0</v>
      </c>
      <c r="BJ272">
        <f t="shared" si="146"/>
        <v>0</v>
      </c>
      <c r="BK272">
        <f t="shared" si="147"/>
        <v>0</v>
      </c>
      <c r="BL272">
        <f t="shared" si="148"/>
        <v>0</v>
      </c>
      <c r="BM272">
        <f t="shared" si="149"/>
        <v>0</v>
      </c>
      <c r="BN272">
        <f t="shared" si="150"/>
        <v>0</v>
      </c>
      <c r="BO272">
        <f t="shared" si="151"/>
        <v>0</v>
      </c>
      <c r="BP272">
        <f t="shared" si="152"/>
        <v>0</v>
      </c>
      <c r="BQ272">
        <f t="shared" si="153"/>
        <v>0</v>
      </c>
      <c r="BR272">
        <f t="shared" si="154"/>
        <v>0</v>
      </c>
      <c r="BS272">
        <f t="shared" si="155"/>
        <v>0</v>
      </c>
      <c r="BT272">
        <f t="shared" si="156"/>
        <v>0</v>
      </c>
      <c r="BU272" t="e">
        <f t="shared" si="157"/>
        <v>#DIV/0!</v>
      </c>
      <c r="BV272" t="e">
        <f t="shared" si="158"/>
        <v>#DIV/0!</v>
      </c>
      <c r="BX272" t="e">
        <f t="shared" si="159"/>
        <v>#DIV/0!</v>
      </c>
      <c r="CF272">
        <v>4.0300000000000002E-2</v>
      </c>
      <c r="CG272">
        <v>3.39E-2</v>
      </c>
      <c r="CH272">
        <v>0</v>
      </c>
      <c r="CI272">
        <v>0.19919999999999999</v>
      </c>
      <c r="CJ272">
        <v>0</v>
      </c>
      <c r="CK272">
        <v>0.1216</v>
      </c>
      <c r="CL272">
        <v>0</v>
      </c>
      <c r="CM272">
        <v>0.2344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0.36059999999999998</v>
      </c>
      <c r="CZ272">
        <v>5.7999999999999996E-3</v>
      </c>
      <c r="DA272">
        <v>0</v>
      </c>
      <c r="DB272">
        <v>4.1999999999999997E-3</v>
      </c>
      <c r="DC272" s="24">
        <f t="shared" si="123"/>
        <v>0.19919999999999999</v>
      </c>
      <c r="DD272" s="24">
        <f t="shared" si="124"/>
        <v>7.4200000000000002E-2</v>
      </c>
      <c r="DE272" s="24">
        <f t="shared" si="125"/>
        <v>0.35599999999999998</v>
      </c>
    </row>
    <row r="273" spans="1:109">
      <c r="A273" t="s">
        <v>400</v>
      </c>
      <c r="C273" t="s">
        <v>377</v>
      </c>
      <c r="D273" s="19" t="s">
        <v>376</v>
      </c>
      <c r="G273">
        <v>26.34</v>
      </c>
      <c r="H273">
        <v>13.26</v>
      </c>
      <c r="I273">
        <v>0.71</v>
      </c>
      <c r="J273">
        <v>16.690000000000001</v>
      </c>
      <c r="K273">
        <v>2.0499999999999998</v>
      </c>
      <c r="L273">
        <f t="shared" ref="L273:L325" si="160">K273+J273*0.9</f>
        <v>17.071000000000002</v>
      </c>
      <c r="M273">
        <v>2.0499999999999998</v>
      </c>
      <c r="N273">
        <v>0.09</v>
      </c>
      <c r="O273">
        <v>31.93</v>
      </c>
      <c r="W273">
        <v>0.01</v>
      </c>
      <c r="X273">
        <v>5.85</v>
      </c>
      <c r="BG273">
        <f t="shared" si="143"/>
        <v>0</v>
      </c>
      <c r="BH273">
        <f t="shared" si="144"/>
        <v>0</v>
      </c>
      <c r="BI273">
        <f t="shared" si="145"/>
        <v>0</v>
      </c>
      <c r="BJ273">
        <f t="shared" si="146"/>
        <v>0</v>
      </c>
      <c r="BK273">
        <f t="shared" si="147"/>
        <v>0</v>
      </c>
      <c r="BL273">
        <f t="shared" si="148"/>
        <v>0</v>
      </c>
      <c r="BM273">
        <f t="shared" si="149"/>
        <v>0</v>
      </c>
      <c r="BN273">
        <f t="shared" si="150"/>
        <v>0</v>
      </c>
      <c r="BO273">
        <f t="shared" si="151"/>
        <v>0</v>
      </c>
      <c r="BP273">
        <f t="shared" si="152"/>
        <v>0</v>
      </c>
      <c r="BQ273">
        <f t="shared" si="153"/>
        <v>0</v>
      </c>
      <c r="BR273">
        <f t="shared" si="154"/>
        <v>0</v>
      </c>
      <c r="BS273">
        <f t="shared" si="155"/>
        <v>0</v>
      </c>
      <c r="BT273">
        <f t="shared" si="156"/>
        <v>0</v>
      </c>
      <c r="BU273" t="e">
        <f t="shared" si="157"/>
        <v>#DIV/0!</v>
      </c>
      <c r="BV273" t="e">
        <f t="shared" si="158"/>
        <v>#DIV/0!</v>
      </c>
      <c r="BX273" t="e">
        <f t="shared" si="159"/>
        <v>#DIV/0!</v>
      </c>
      <c r="CF273">
        <v>3.6499999999999998E-2</v>
      </c>
      <c r="CG273">
        <v>8.7999999999999995E-2</v>
      </c>
      <c r="CH273">
        <v>0</v>
      </c>
      <c r="CI273">
        <v>0.22559999999999999</v>
      </c>
      <c r="CJ273">
        <v>0</v>
      </c>
      <c r="CK273">
        <v>0.1593</v>
      </c>
      <c r="CL273">
        <v>0</v>
      </c>
      <c r="CM273">
        <v>0.2606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0.22570000000000001</v>
      </c>
      <c r="CZ273">
        <v>2.2000000000000001E-3</v>
      </c>
      <c r="DA273">
        <v>0</v>
      </c>
      <c r="DB273">
        <v>2.0999999999999999E-3</v>
      </c>
      <c r="DC273" s="24">
        <f t="shared" si="123"/>
        <v>0.22559999999999999</v>
      </c>
      <c r="DD273" s="24">
        <f t="shared" si="124"/>
        <v>0.1245</v>
      </c>
      <c r="DE273" s="24">
        <f t="shared" si="125"/>
        <v>0.4199</v>
      </c>
    </row>
    <row r="274" spans="1:109">
      <c r="C274" t="s">
        <v>377</v>
      </c>
      <c r="D274" s="19" t="s">
        <v>376</v>
      </c>
      <c r="G274">
        <v>28.22</v>
      </c>
      <c r="H274">
        <v>11.47</v>
      </c>
      <c r="I274">
        <v>0.49</v>
      </c>
      <c r="J274">
        <v>17.309999999999999</v>
      </c>
      <c r="K274">
        <v>1.63</v>
      </c>
      <c r="L274">
        <f t="shared" si="160"/>
        <v>17.209</v>
      </c>
      <c r="M274">
        <v>2.5</v>
      </c>
      <c r="N274">
        <v>0.31</v>
      </c>
      <c r="O274">
        <v>32.1</v>
      </c>
      <c r="W274">
        <v>0.14000000000000001</v>
      </c>
      <c r="X274">
        <v>5.94</v>
      </c>
      <c r="BG274">
        <f t="shared" si="143"/>
        <v>0</v>
      </c>
      <c r="BH274">
        <f t="shared" si="144"/>
        <v>0</v>
      </c>
      <c r="BI274">
        <f t="shared" si="145"/>
        <v>0</v>
      </c>
      <c r="BJ274">
        <f t="shared" si="146"/>
        <v>0</v>
      </c>
      <c r="BK274">
        <f t="shared" si="147"/>
        <v>0</v>
      </c>
      <c r="BL274">
        <f t="shared" si="148"/>
        <v>0</v>
      </c>
      <c r="BM274">
        <f t="shared" si="149"/>
        <v>0</v>
      </c>
      <c r="BN274">
        <f t="shared" si="150"/>
        <v>0</v>
      </c>
      <c r="BO274">
        <f t="shared" si="151"/>
        <v>0</v>
      </c>
      <c r="BP274">
        <f t="shared" si="152"/>
        <v>0</v>
      </c>
      <c r="BQ274">
        <f t="shared" si="153"/>
        <v>0</v>
      </c>
      <c r="BR274">
        <f t="shared" si="154"/>
        <v>0</v>
      </c>
      <c r="BS274">
        <f t="shared" si="155"/>
        <v>0</v>
      </c>
      <c r="BT274">
        <f t="shared" si="156"/>
        <v>0</v>
      </c>
      <c r="BU274" t="e">
        <f t="shared" si="157"/>
        <v>#DIV/0!</v>
      </c>
      <c r="BV274" t="e">
        <f t="shared" si="158"/>
        <v>#DIV/0!</v>
      </c>
      <c r="BX274" t="e">
        <f t="shared" si="159"/>
        <v>#DIV/0!</v>
      </c>
      <c r="CF274">
        <v>2.4799999999999999E-2</v>
      </c>
      <c r="CG274">
        <v>9.9599999999999994E-2</v>
      </c>
      <c r="CH274">
        <v>0</v>
      </c>
      <c r="CI274">
        <v>0.16309999999999999</v>
      </c>
      <c r="CJ274">
        <v>0</v>
      </c>
      <c r="CK274">
        <v>0.1171</v>
      </c>
      <c r="CL274">
        <v>0</v>
      </c>
      <c r="CM274">
        <v>0.29830000000000001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0.2823</v>
      </c>
      <c r="CZ274">
        <v>7.4999999999999997E-3</v>
      </c>
      <c r="DA274">
        <v>0</v>
      </c>
      <c r="DB274">
        <v>7.3000000000000001E-3</v>
      </c>
      <c r="DC274" s="24">
        <f t="shared" si="123"/>
        <v>0.16309999999999999</v>
      </c>
      <c r="DD274" s="24">
        <f t="shared" si="124"/>
        <v>0.1244</v>
      </c>
      <c r="DE274" s="24">
        <f t="shared" si="125"/>
        <v>0.41539999999999999</v>
      </c>
    </row>
    <row r="275" spans="1:109">
      <c r="C275" t="s">
        <v>377</v>
      </c>
      <c r="D275" s="19" t="s">
        <v>376</v>
      </c>
      <c r="G275">
        <v>27.58</v>
      </c>
      <c r="H275">
        <v>9.08</v>
      </c>
      <c r="I275">
        <v>2.44</v>
      </c>
      <c r="J275">
        <v>17.97</v>
      </c>
      <c r="K275">
        <v>0.21</v>
      </c>
      <c r="L275">
        <f t="shared" si="160"/>
        <v>16.382999999999999</v>
      </c>
      <c r="M275">
        <v>2.12</v>
      </c>
      <c r="O275">
        <v>32.67</v>
      </c>
      <c r="W275">
        <v>0</v>
      </c>
      <c r="X275">
        <v>8.06</v>
      </c>
      <c r="BG275">
        <f t="shared" si="143"/>
        <v>0</v>
      </c>
      <c r="BH275">
        <f t="shared" si="144"/>
        <v>0</v>
      </c>
      <c r="BI275">
        <f t="shared" si="145"/>
        <v>0</v>
      </c>
      <c r="BJ275">
        <f t="shared" si="146"/>
        <v>0</v>
      </c>
      <c r="BK275">
        <f t="shared" si="147"/>
        <v>0</v>
      </c>
      <c r="BL275">
        <f t="shared" si="148"/>
        <v>0</v>
      </c>
      <c r="BM275">
        <f t="shared" si="149"/>
        <v>0</v>
      </c>
      <c r="BN275">
        <f t="shared" si="150"/>
        <v>0</v>
      </c>
      <c r="BO275">
        <f t="shared" si="151"/>
        <v>0</v>
      </c>
      <c r="BP275">
        <f t="shared" si="152"/>
        <v>0</v>
      </c>
      <c r="BQ275">
        <f t="shared" si="153"/>
        <v>0</v>
      </c>
      <c r="BR275">
        <f t="shared" si="154"/>
        <v>0</v>
      </c>
      <c r="BS275">
        <f t="shared" si="155"/>
        <v>0</v>
      </c>
      <c r="BT275">
        <f t="shared" si="156"/>
        <v>0</v>
      </c>
      <c r="BU275" t="e">
        <f t="shared" si="157"/>
        <v>#DIV/0!</v>
      </c>
      <c r="BV275" t="e">
        <f t="shared" si="158"/>
        <v>#DIV/0!</v>
      </c>
      <c r="BX275" t="e">
        <f t="shared" si="159"/>
        <v>#DIV/0!</v>
      </c>
      <c r="CF275">
        <v>0.1236</v>
      </c>
      <c r="CG275">
        <v>4.53E-2</v>
      </c>
      <c r="CH275">
        <v>0</v>
      </c>
      <c r="CI275">
        <v>0.1459</v>
      </c>
      <c r="CJ275">
        <v>0</v>
      </c>
      <c r="CK275">
        <v>1.52E-2</v>
      </c>
      <c r="CL275">
        <v>0</v>
      </c>
      <c r="CM275">
        <v>0.27160000000000001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0.39</v>
      </c>
      <c r="CZ275">
        <v>0</v>
      </c>
      <c r="DA275">
        <v>0</v>
      </c>
      <c r="DB275">
        <v>0</v>
      </c>
      <c r="DC275" s="24">
        <f t="shared" si="123"/>
        <v>0.1459</v>
      </c>
      <c r="DD275" s="24">
        <f t="shared" si="124"/>
        <v>0.16889999999999999</v>
      </c>
      <c r="DE275" s="24">
        <f t="shared" si="125"/>
        <v>0.2868</v>
      </c>
    </row>
    <row r="276" spans="1:109">
      <c r="C276" t="s">
        <v>377</v>
      </c>
      <c r="D276" s="19" t="s">
        <v>376</v>
      </c>
      <c r="G276">
        <v>27.09</v>
      </c>
      <c r="H276">
        <v>8.85</v>
      </c>
      <c r="I276">
        <v>2.56</v>
      </c>
      <c r="J276">
        <v>16.79</v>
      </c>
      <c r="K276">
        <v>1.08</v>
      </c>
      <c r="L276">
        <f t="shared" si="160"/>
        <v>16.190999999999999</v>
      </c>
      <c r="M276">
        <v>1.87</v>
      </c>
      <c r="N276">
        <v>7.0000000000000007E-2</v>
      </c>
      <c r="O276">
        <v>31.81</v>
      </c>
      <c r="W276">
        <v>0</v>
      </c>
      <c r="X276">
        <v>8.61</v>
      </c>
      <c r="BG276">
        <f t="shared" si="143"/>
        <v>0</v>
      </c>
      <c r="BH276">
        <f t="shared" si="144"/>
        <v>0</v>
      </c>
      <c r="BI276">
        <f t="shared" si="145"/>
        <v>0</v>
      </c>
      <c r="BJ276">
        <f t="shared" si="146"/>
        <v>0</v>
      </c>
      <c r="BK276">
        <f t="shared" si="147"/>
        <v>0</v>
      </c>
      <c r="BL276">
        <f t="shared" si="148"/>
        <v>0</v>
      </c>
      <c r="BM276">
        <f t="shared" si="149"/>
        <v>0</v>
      </c>
      <c r="BN276">
        <f t="shared" si="150"/>
        <v>0</v>
      </c>
      <c r="BO276">
        <f t="shared" si="151"/>
        <v>0</v>
      </c>
      <c r="BP276">
        <f t="shared" si="152"/>
        <v>0</v>
      </c>
      <c r="BQ276">
        <f t="shared" si="153"/>
        <v>0</v>
      </c>
      <c r="BR276">
        <f t="shared" si="154"/>
        <v>0</v>
      </c>
      <c r="BS276">
        <f t="shared" si="155"/>
        <v>0</v>
      </c>
      <c r="BT276">
        <f t="shared" si="156"/>
        <v>0</v>
      </c>
      <c r="BU276" t="e">
        <f t="shared" si="157"/>
        <v>#DIV/0!</v>
      </c>
      <c r="BV276" t="e">
        <f t="shared" si="158"/>
        <v>#DIV/0!</v>
      </c>
      <c r="BX276" t="e">
        <f t="shared" si="159"/>
        <v>#DIV/0!</v>
      </c>
      <c r="CF276">
        <v>0.13200000000000001</v>
      </c>
      <c r="CG276">
        <v>5.1700000000000003E-2</v>
      </c>
      <c r="CH276">
        <v>0</v>
      </c>
      <c r="CI276">
        <v>0.13120000000000001</v>
      </c>
      <c r="CJ276">
        <v>0</v>
      </c>
      <c r="CK276">
        <v>8.8900000000000007E-2</v>
      </c>
      <c r="CL276">
        <v>0</v>
      </c>
      <c r="CM276">
        <v>0.23119999999999999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0.35899999999999999</v>
      </c>
      <c r="CZ276">
        <v>1.6999999999999999E-3</v>
      </c>
      <c r="DA276">
        <v>0</v>
      </c>
      <c r="DB276">
        <v>4.1999999999999997E-3</v>
      </c>
      <c r="DC276" s="24">
        <f t="shared" si="123"/>
        <v>0.13120000000000001</v>
      </c>
      <c r="DD276" s="24">
        <f t="shared" si="124"/>
        <v>0.1837</v>
      </c>
      <c r="DE276" s="24">
        <f t="shared" si="125"/>
        <v>0.3201</v>
      </c>
    </row>
    <row r="277" spans="1:109">
      <c r="C277" t="s">
        <v>377</v>
      </c>
      <c r="D277" s="19" t="s">
        <v>376</v>
      </c>
      <c r="G277">
        <v>26.95</v>
      </c>
      <c r="H277">
        <v>10.34</v>
      </c>
      <c r="I277">
        <v>1.04</v>
      </c>
      <c r="J277">
        <v>14.82</v>
      </c>
      <c r="K277">
        <v>2.14</v>
      </c>
      <c r="L277">
        <f t="shared" si="160"/>
        <v>15.478000000000002</v>
      </c>
      <c r="M277">
        <v>2.5099999999999998</v>
      </c>
      <c r="N277">
        <v>0.16</v>
      </c>
      <c r="O277">
        <v>31.37</v>
      </c>
      <c r="X277">
        <v>9.7799999999999994</v>
      </c>
      <c r="BG277">
        <f t="shared" si="143"/>
        <v>0</v>
      </c>
      <c r="BH277">
        <f t="shared" si="144"/>
        <v>0</v>
      </c>
      <c r="BI277">
        <f t="shared" si="145"/>
        <v>0</v>
      </c>
      <c r="BJ277">
        <f t="shared" si="146"/>
        <v>0</v>
      </c>
      <c r="BK277">
        <f t="shared" si="147"/>
        <v>0</v>
      </c>
      <c r="BL277">
        <f t="shared" si="148"/>
        <v>0</v>
      </c>
      <c r="BM277">
        <f t="shared" si="149"/>
        <v>0</v>
      </c>
      <c r="BN277">
        <f t="shared" si="150"/>
        <v>0</v>
      </c>
      <c r="BO277">
        <f t="shared" si="151"/>
        <v>0</v>
      </c>
      <c r="BP277">
        <f t="shared" si="152"/>
        <v>0</v>
      </c>
      <c r="BQ277">
        <f t="shared" si="153"/>
        <v>0</v>
      </c>
      <c r="BR277">
        <f t="shared" si="154"/>
        <v>0</v>
      </c>
      <c r="BS277">
        <f t="shared" si="155"/>
        <v>0</v>
      </c>
      <c r="BT277">
        <f t="shared" si="156"/>
        <v>0</v>
      </c>
      <c r="BU277" t="e">
        <f t="shared" si="157"/>
        <v>#DIV/0!</v>
      </c>
      <c r="BV277" t="e">
        <f t="shared" si="158"/>
        <v>#DIV/0!</v>
      </c>
      <c r="BX277" t="e">
        <f t="shared" si="159"/>
        <v>#DIV/0!</v>
      </c>
      <c r="CF277">
        <v>5.3800000000000001E-2</v>
      </c>
      <c r="CG277">
        <v>0.1555</v>
      </c>
      <c r="CH277">
        <v>0</v>
      </c>
      <c r="CI277">
        <v>0.1082</v>
      </c>
      <c r="CJ277">
        <v>0</v>
      </c>
      <c r="CK277">
        <v>0.17630000000000001</v>
      </c>
      <c r="CL277">
        <v>0</v>
      </c>
      <c r="CM277">
        <v>0.29010000000000002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0.19950000000000001</v>
      </c>
      <c r="CZ277">
        <v>4.0000000000000001E-3</v>
      </c>
      <c r="DA277">
        <v>0</v>
      </c>
      <c r="DB277">
        <v>1.2800000000000001E-2</v>
      </c>
      <c r="DC277" s="24">
        <f t="shared" si="123"/>
        <v>0.1082</v>
      </c>
      <c r="DD277" s="24">
        <f t="shared" si="124"/>
        <v>0.20929999999999999</v>
      </c>
      <c r="DE277" s="24">
        <f t="shared" si="125"/>
        <v>0.46640000000000004</v>
      </c>
    </row>
    <row r="278" spans="1:109">
      <c r="C278" t="s">
        <v>377</v>
      </c>
      <c r="D278" s="19" t="s">
        <v>376</v>
      </c>
      <c r="G278">
        <v>24.64</v>
      </c>
      <c r="H278">
        <v>12.9</v>
      </c>
      <c r="I278">
        <v>2.68</v>
      </c>
      <c r="J278">
        <v>11.83</v>
      </c>
      <c r="K278">
        <v>2.8</v>
      </c>
      <c r="L278">
        <f t="shared" si="160"/>
        <v>13.446999999999999</v>
      </c>
      <c r="M278">
        <v>2.84</v>
      </c>
      <c r="N278">
        <v>0.26</v>
      </c>
      <c r="O278">
        <v>30.88</v>
      </c>
      <c r="W278">
        <v>0</v>
      </c>
      <c r="X278">
        <v>11.35</v>
      </c>
      <c r="BG278">
        <f t="shared" si="143"/>
        <v>0</v>
      </c>
      <c r="BH278">
        <f t="shared" si="144"/>
        <v>0</v>
      </c>
      <c r="BI278">
        <f t="shared" si="145"/>
        <v>0</v>
      </c>
      <c r="BJ278">
        <f t="shared" si="146"/>
        <v>0</v>
      </c>
      <c r="BK278">
        <f t="shared" si="147"/>
        <v>0</v>
      </c>
      <c r="BL278">
        <f t="shared" si="148"/>
        <v>0</v>
      </c>
      <c r="BM278">
        <f t="shared" si="149"/>
        <v>0</v>
      </c>
      <c r="BN278">
        <f t="shared" si="150"/>
        <v>0</v>
      </c>
      <c r="BO278">
        <f t="shared" si="151"/>
        <v>0</v>
      </c>
      <c r="BP278">
        <f t="shared" si="152"/>
        <v>0</v>
      </c>
      <c r="BQ278">
        <f t="shared" si="153"/>
        <v>0</v>
      </c>
      <c r="BR278">
        <f t="shared" si="154"/>
        <v>0</v>
      </c>
      <c r="BS278">
        <f t="shared" si="155"/>
        <v>0</v>
      </c>
      <c r="BT278">
        <f t="shared" si="156"/>
        <v>0</v>
      </c>
      <c r="BU278" t="e">
        <f t="shared" si="157"/>
        <v>#DIV/0!</v>
      </c>
      <c r="BV278" t="e">
        <f t="shared" si="158"/>
        <v>#DIV/0!</v>
      </c>
      <c r="BX278" t="e">
        <f t="shared" si="159"/>
        <v>#DIV/0!</v>
      </c>
      <c r="CF278">
        <v>0.1376</v>
      </c>
      <c r="CG278">
        <v>0.10349999999999999</v>
      </c>
      <c r="CH278">
        <v>0</v>
      </c>
      <c r="CI278">
        <v>0.18559999999999999</v>
      </c>
      <c r="CJ278">
        <v>0</v>
      </c>
      <c r="CK278">
        <v>0.20380000000000001</v>
      </c>
      <c r="CL278">
        <v>0</v>
      </c>
      <c r="CM278">
        <v>0.27060000000000001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5.9799999999999999E-2</v>
      </c>
      <c r="CZ278">
        <v>6.4000000000000003E-3</v>
      </c>
      <c r="DA278">
        <v>0</v>
      </c>
      <c r="DB278">
        <v>3.27E-2</v>
      </c>
      <c r="DC278" s="24">
        <f t="shared" si="123"/>
        <v>0.18559999999999999</v>
      </c>
      <c r="DD278" s="24">
        <f t="shared" si="124"/>
        <v>0.24109999999999998</v>
      </c>
      <c r="DE278" s="24">
        <f t="shared" si="125"/>
        <v>0.47440000000000004</v>
      </c>
    </row>
    <row r="279" spans="1:109">
      <c r="C279" t="s">
        <v>377</v>
      </c>
      <c r="D279" s="19" t="s">
        <v>376</v>
      </c>
      <c r="G279">
        <v>23.8</v>
      </c>
      <c r="H279">
        <v>10.6</v>
      </c>
      <c r="I279">
        <v>2.46</v>
      </c>
      <c r="J279">
        <v>16.989999999999998</v>
      </c>
      <c r="K279">
        <v>0.41</v>
      </c>
      <c r="L279">
        <f t="shared" si="160"/>
        <v>15.700999999999999</v>
      </c>
      <c r="M279">
        <v>2.0699999999999998</v>
      </c>
      <c r="N279">
        <v>0.12</v>
      </c>
      <c r="O279">
        <v>31.64</v>
      </c>
      <c r="W279">
        <v>0.01</v>
      </c>
      <c r="X279">
        <v>11.92</v>
      </c>
      <c r="BG279">
        <f t="shared" si="143"/>
        <v>0</v>
      </c>
      <c r="BH279">
        <f t="shared" si="144"/>
        <v>0</v>
      </c>
      <c r="BI279">
        <f t="shared" si="145"/>
        <v>0</v>
      </c>
      <c r="BJ279">
        <f t="shared" si="146"/>
        <v>0</v>
      </c>
      <c r="BK279">
        <f t="shared" si="147"/>
        <v>0</v>
      </c>
      <c r="BL279">
        <f t="shared" si="148"/>
        <v>0</v>
      </c>
      <c r="BM279">
        <f t="shared" si="149"/>
        <v>0</v>
      </c>
      <c r="BN279">
        <f t="shared" si="150"/>
        <v>0</v>
      </c>
      <c r="BO279">
        <f t="shared" si="151"/>
        <v>0</v>
      </c>
      <c r="BP279">
        <f t="shared" si="152"/>
        <v>0</v>
      </c>
      <c r="BQ279">
        <f t="shared" si="153"/>
        <v>0</v>
      </c>
      <c r="BR279">
        <f t="shared" si="154"/>
        <v>0</v>
      </c>
      <c r="BS279">
        <f t="shared" si="155"/>
        <v>0</v>
      </c>
      <c r="BT279">
        <f t="shared" si="156"/>
        <v>0</v>
      </c>
      <c r="BU279" t="e">
        <f t="shared" si="157"/>
        <v>#DIV/0!</v>
      </c>
      <c r="BV279" t="e">
        <f t="shared" si="158"/>
        <v>#DIV/0!</v>
      </c>
      <c r="BX279" t="e">
        <f t="shared" si="159"/>
        <v>#DIV/0!</v>
      </c>
      <c r="CF279">
        <v>0.12790000000000001</v>
      </c>
      <c r="CG279">
        <v>0.1285</v>
      </c>
      <c r="CH279">
        <v>0</v>
      </c>
      <c r="CI279">
        <v>0.19409999999999999</v>
      </c>
      <c r="CJ279">
        <v>0</v>
      </c>
      <c r="CK279">
        <v>4.3999999999999997E-2</v>
      </c>
      <c r="CL279">
        <v>0</v>
      </c>
      <c r="CM279">
        <v>0.27110000000000001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0.2311</v>
      </c>
      <c r="CZ279">
        <v>3.0000000000000001E-3</v>
      </c>
      <c r="DA279">
        <v>0</v>
      </c>
      <c r="DB279">
        <v>4.0000000000000002E-4</v>
      </c>
      <c r="DC279" s="24">
        <f t="shared" si="123"/>
        <v>0.19409999999999999</v>
      </c>
      <c r="DD279" s="24">
        <f t="shared" si="124"/>
        <v>0.25640000000000002</v>
      </c>
      <c r="DE279" s="24">
        <f t="shared" si="125"/>
        <v>0.31509999999999999</v>
      </c>
    </row>
    <row r="280" spans="1:109">
      <c r="C280" t="s">
        <v>377</v>
      </c>
      <c r="D280" s="19" t="s">
        <v>376</v>
      </c>
      <c r="G280">
        <v>24.59</v>
      </c>
      <c r="H280">
        <v>9.8699999999999992</v>
      </c>
      <c r="I280">
        <v>3.71</v>
      </c>
      <c r="J280">
        <v>14.02</v>
      </c>
      <c r="K280">
        <v>0.82</v>
      </c>
      <c r="L280">
        <f t="shared" si="160"/>
        <v>13.438000000000001</v>
      </c>
      <c r="M280">
        <v>3.11</v>
      </c>
      <c r="O280">
        <v>30.83</v>
      </c>
      <c r="X280">
        <v>13</v>
      </c>
      <c r="BG280">
        <f t="shared" si="143"/>
        <v>0</v>
      </c>
      <c r="BH280">
        <f t="shared" si="144"/>
        <v>0</v>
      </c>
      <c r="BI280">
        <f t="shared" si="145"/>
        <v>0</v>
      </c>
      <c r="BJ280">
        <f t="shared" si="146"/>
        <v>0</v>
      </c>
      <c r="BK280">
        <f t="shared" si="147"/>
        <v>0</v>
      </c>
      <c r="BL280">
        <f t="shared" si="148"/>
        <v>0</v>
      </c>
      <c r="BM280">
        <f t="shared" si="149"/>
        <v>0</v>
      </c>
      <c r="BN280">
        <f t="shared" si="150"/>
        <v>0</v>
      </c>
      <c r="BO280">
        <f t="shared" si="151"/>
        <v>0</v>
      </c>
      <c r="BP280">
        <f t="shared" si="152"/>
        <v>0</v>
      </c>
      <c r="BQ280">
        <f t="shared" si="153"/>
        <v>0</v>
      </c>
      <c r="BR280">
        <f t="shared" si="154"/>
        <v>0</v>
      </c>
      <c r="BS280">
        <f t="shared" si="155"/>
        <v>0</v>
      </c>
      <c r="BT280">
        <f t="shared" si="156"/>
        <v>0</v>
      </c>
      <c r="BU280" t="e">
        <f t="shared" si="157"/>
        <v>#DIV/0!</v>
      </c>
      <c r="BV280" t="e">
        <f t="shared" si="158"/>
        <v>#DIV/0!</v>
      </c>
      <c r="BX280" t="e">
        <f t="shared" si="159"/>
        <v>#DIV/0!</v>
      </c>
      <c r="CF280">
        <v>0.19089999999999999</v>
      </c>
      <c r="CG280">
        <v>8.5800000000000001E-2</v>
      </c>
      <c r="CH280">
        <v>0</v>
      </c>
      <c r="CI280">
        <v>0.14990000000000001</v>
      </c>
      <c r="CJ280">
        <v>0</v>
      </c>
      <c r="CK280">
        <v>5.9799999999999999E-2</v>
      </c>
      <c r="CL280">
        <v>0</v>
      </c>
      <c r="CM280">
        <v>0.28870000000000001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0.1862</v>
      </c>
      <c r="CZ280">
        <v>0</v>
      </c>
      <c r="DA280">
        <v>0</v>
      </c>
      <c r="DB280">
        <v>3.8699999999999998E-2</v>
      </c>
      <c r="DC280" s="24">
        <f t="shared" si="123"/>
        <v>0.14990000000000001</v>
      </c>
      <c r="DD280" s="24">
        <f t="shared" si="124"/>
        <v>0.2767</v>
      </c>
      <c r="DE280" s="24">
        <f t="shared" si="125"/>
        <v>0.34850000000000003</v>
      </c>
    </row>
    <row r="281" spans="1:109">
      <c r="C281" t="s">
        <v>377</v>
      </c>
      <c r="D281" s="19" t="s">
        <v>376</v>
      </c>
      <c r="G281">
        <v>24.8</v>
      </c>
      <c r="H281">
        <v>10.51</v>
      </c>
      <c r="I281">
        <v>1.64</v>
      </c>
      <c r="J281">
        <v>12.51</v>
      </c>
      <c r="K281">
        <v>2.78</v>
      </c>
      <c r="L281">
        <f t="shared" si="160"/>
        <v>14.039</v>
      </c>
      <c r="M281">
        <v>2.67</v>
      </c>
      <c r="O281">
        <v>30.87</v>
      </c>
      <c r="W281">
        <v>0</v>
      </c>
      <c r="X281">
        <v>13.68</v>
      </c>
      <c r="BG281">
        <f t="shared" si="143"/>
        <v>0</v>
      </c>
      <c r="BH281">
        <f t="shared" si="144"/>
        <v>0</v>
      </c>
      <c r="BI281">
        <f t="shared" si="145"/>
        <v>0</v>
      </c>
      <c r="BJ281">
        <f t="shared" si="146"/>
        <v>0</v>
      </c>
      <c r="BK281">
        <f t="shared" si="147"/>
        <v>0</v>
      </c>
      <c r="BL281">
        <f t="shared" si="148"/>
        <v>0</v>
      </c>
      <c r="BM281">
        <f t="shared" si="149"/>
        <v>0</v>
      </c>
      <c r="BN281">
        <f t="shared" si="150"/>
        <v>0</v>
      </c>
      <c r="BO281">
        <f t="shared" si="151"/>
        <v>0</v>
      </c>
      <c r="BP281">
        <f t="shared" si="152"/>
        <v>0</v>
      </c>
      <c r="BQ281">
        <f t="shared" si="153"/>
        <v>0</v>
      </c>
      <c r="BR281">
        <f t="shared" si="154"/>
        <v>0</v>
      </c>
      <c r="BS281">
        <f t="shared" si="155"/>
        <v>0</v>
      </c>
      <c r="BT281">
        <f t="shared" si="156"/>
        <v>0</v>
      </c>
      <c r="BU281" t="e">
        <f t="shared" si="157"/>
        <v>#DIV/0!</v>
      </c>
      <c r="BV281" t="e">
        <f t="shared" si="158"/>
        <v>#DIV/0!</v>
      </c>
      <c r="BX281" t="e">
        <f t="shared" si="159"/>
        <v>#DIV/0!</v>
      </c>
      <c r="CF281">
        <v>8.5800000000000001E-2</v>
      </c>
      <c r="CG281">
        <v>0.21029999999999999</v>
      </c>
      <c r="CH281">
        <v>0</v>
      </c>
      <c r="CI281">
        <v>0.10299999999999999</v>
      </c>
      <c r="CJ281">
        <v>0</v>
      </c>
      <c r="CK281">
        <v>0.20610000000000001</v>
      </c>
      <c r="CL281">
        <v>0</v>
      </c>
      <c r="CM281">
        <v>0.28999999999999998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8.3699999999999997E-2</v>
      </c>
      <c r="CZ281">
        <v>0</v>
      </c>
      <c r="DA281">
        <v>0</v>
      </c>
      <c r="DB281">
        <v>2.1100000000000001E-2</v>
      </c>
      <c r="DC281" s="24">
        <f t="shared" si="123"/>
        <v>0.10299999999999999</v>
      </c>
      <c r="DD281" s="24">
        <f t="shared" si="124"/>
        <v>0.29609999999999997</v>
      </c>
      <c r="DE281" s="24">
        <f t="shared" si="125"/>
        <v>0.49609999999999999</v>
      </c>
    </row>
    <row r="282" spans="1:109">
      <c r="C282" t="s">
        <v>377</v>
      </c>
      <c r="D282" s="19" t="s">
        <v>376</v>
      </c>
      <c r="G282">
        <v>23.5</v>
      </c>
      <c r="H282">
        <v>10.19</v>
      </c>
      <c r="I282">
        <v>3.14</v>
      </c>
      <c r="J282">
        <v>15.18</v>
      </c>
      <c r="K282">
        <v>1.25</v>
      </c>
      <c r="L282">
        <f t="shared" si="160"/>
        <v>14.912000000000001</v>
      </c>
      <c r="M282">
        <v>2.23</v>
      </c>
      <c r="N282">
        <v>0.11</v>
      </c>
      <c r="O282">
        <v>31.03</v>
      </c>
      <c r="W282">
        <v>0.2</v>
      </c>
      <c r="X282">
        <v>13.77</v>
      </c>
      <c r="BG282">
        <f t="shared" si="143"/>
        <v>0</v>
      </c>
      <c r="BH282">
        <f t="shared" si="144"/>
        <v>0</v>
      </c>
      <c r="BI282">
        <f t="shared" si="145"/>
        <v>0</v>
      </c>
      <c r="BJ282">
        <f t="shared" si="146"/>
        <v>0</v>
      </c>
      <c r="BK282">
        <f t="shared" si="147"/>
        <v>0</v>
      </c>
      <c r="BL282">
        <f t="shared" si="148"/>
        <v>0</v>
      </c>
      <c r="BM282">
        <f t="shared" si="149"/>
        <v>0</v>
      </c>
      <c r="BN282">
        <f t="shared" si="150"/>
        <v>0</v>
      </c>
      <c r="BO282">
        <f t="shared" si="151"/>
        <v>0</v>
      </c>
      <c r="BP282">
        <f t="shared" si="152"/>
        <v>0</v>
      </c>
      <c r="BQ282">
        <f t="shared" si="153"/>
        <v>0</v>
      </c>
      <c r="BR282">
        <f t="shared" si="154"/>
        <v>0</v>
      </c>
      <c r="BS282">
        <f t="shared" si="155"/>
        <v>0</v>
      </c>
      <c r="BT282">
        <f t="shared" si="156"/>
        <v>0</v>
      </c>
      <c r="BU282" t="e">
        <f t="shared" si="157"/>
        <v>#DIV/0!</v>
      </c>
      <c r="BV282" t="e">
        <f t="shared" si="158"/>
        <v>#DIV/0!</v>
      </c>
      <c r="BX282" t="e">
        <f t="shared" si="159"/>
        <v>#DIV/0!</v>
      </c>
      <c r="CF282">
        <v>0.16320000000000001</v>
      </c>
      <c r="CG282">
        <v>0.13289999999999999</v>
      </c>
      <c r="CH282">
        <v>0</v>
      </c>
      <c r="CI282">
        <v>0.1678</v>
      </c>
      <c r="CJ282">
        <v>0</v>
      </c>
      <c r="CK282">
        <v>0.1072</v>
      </c>
      <c r="CL282">
        <v>0</v>
      </c>
      <c r="CM282">
        <v>0.23330000000000001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0.17299999999999999</v>
      </c>
      <c r="CZ282">
        <v>2.7000000000000001E-3</v>
      </c>
      <c r="DA282">
        <v>0</v>
      </c>
      <c r="DB282">
        <v>1.9900000000000001E-2</v>
      </c>
      <c r="DC282" s="24">
        <f t="shared" si="123"/>
        <v>0.1678</v>
      </c>
      <c r="DD282" s="24">
        <f t="shared" si="124"/>
        <v>0.29610000000000003</v>
      </c>
      <c r="DE282" s="24">
        <f t="shared" si="125"/>
        <v>0.34050000000000002</v>
      </c>
    </row>
    <row r="283" spans="1:109">
      <c r="C283" t="s">
        <v>377</v>
      </c>
      <c r="D283" s="19" t="s">
        <v>376</v>
      </c>
      <c r="G283">
        <v>22.21</v>
      </c>
      <c r="H283">
        <v>10.01</v>
      </c>
      <c r="I283">
        <v>3.09</v>
      </c>
      <c r="J283">
        <v>10.7</v>
      </c>
      <c r="K283">
        <v>2.5099999999999998</v>
      </c>
      <c r="L283">
        <f t="shared" si="160"/>
        <v>12.139999999999999</v>
      </c>
      <c r="M283">
        <v>2.63</v>
      </c>
      <c r="N283">
        <v>0.19</v>
      </c>
      <c r="O283">
        <v>30.11</v>
      </c>
      <c r="X283">
        <v>17.84</v>
      </c>
      <c r="BG283">
        <f t="shared" si="143"/>
        <v>0</v>
      </c>
      <c r="BH283">
        <f t="shared" si="144"/>
        <v>0</v>
      </c>
      <c r="BI283">
        <f t="shared" si="145"/>
        <v>0</v>
      </c>
      <c r="BJ283">
        <f t="shared" si="146"/>
        <v>0</v>
      </c>
      <c r="BK283">
        <f t="shared" si="147"/>
        <v>0</v>
      </c>
      <c r="BL283">
        <f t="shared" si="148"/>
        <v>0</v>
      </c>
      <c r="BM283">
        <f t="shared" si="149"/>
        <v>0</v>
      </c>
      <c r="BN283">
        <f t="shared" si="150"/>
        <v>0</v>
      </c>
      <c r="BO283">
        <f t="shared" si="151"/>
        <v>0</v>
      </c>
      <c r="BP283">
        <f t="shared" si="152"/>
        <v>0</v>
      </c>
      <c r="BQ283">
        <f t="shared" si="153"/>
        <v>0</v>
      </c>
      <c r="BR283">
        <f t="shared" si="154"/>
        <v>0</v>
      </c>
      <c r="BS283">
        <f t="shared" si="155"/>
        <v>0</v>
      </c>
      <c r="BT283">
        <f t="shared" si="156"/>
        <v>0</v>
      </c>
      <c r="BU283" t="e">
        <f t="shared" si="157"/>
        <v>#DIV/0!</v>
      </c>
      <c r="BV283" t="e">
        <f t="shared" si="158"/>
        <v>#DIV/0!</v>
      </c>
      <c r="BX283" t="e">
        <f t="shared" si="159"/>
        <v>#DIV/0!</v>
      </c>
      <c r="CF283">
        <v>0.16450000000000001</v>
      </c>
      <c r="CG283">
        <v>0.22839999999999999</v>
      </c>
      <c r="CH283">
        <v>0</v>
      </c>
      <c r="CI283">
        <v>0.1042</v>
      </c>
      <c r="CJ283">
        <v>0</v>
      </c>
      <c r="CK283">
        <v>0.1893</v>
      </c>
      <c r="CL283">
        <v>0</v>
      </c>
      <c r="CM283">
        <v>0.28239999999999998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2.5000000000000001E-3</v>
      </c>
      <c r="CZ283">
        <v>4.7999999999999996E-3</v>
      </c>
      <c r="DA283">
        <v>0</v>
      </c>
      <c r="DB283">
        <v>2.3900000000000001E-2</v>
      </c>
      <c r="DC283" s="24">
        <f t="shared" si="123"/>
        <v>0.1042</v>
      </c>
      <c r="DD283" s="24">
        <f t="shared" si="124"/>
        <v>0.39290000000000003</v>
      </c>
      <c r="DE283" s="24">
        <f t="shared" si="125"/>
        <v>0.47170000000000001</v>
      </c>
    </row>
    <row r="284" spans="1:109">
      <c r="C284" t="s">
        <v>377</v>
      </c>
      <c r="D284" s="19" t="s">
        <v>376</v>
      </c>
      <c r="G284">
        <v>21.53</v>
      </c>
      <c r="H284">
        <v>10.33</v>
      </c>
      <c r="I284">
        <v>3</v>
      </c>
      <c r="J284">
        <v>11.08</v>
      </c>
      <c r="K284">
        <v>2.63</v>
      </c>
      <c r="L284">
        <f t="shared" si="160"/>
        <v>12.602</v>
      </c>
      <c r="M284">
        <v>2.41</v>
      </c>
      <c r="N284">
        <v>0.05</v>
      </c>
      <c r="O284">
        <v>30.23</v>
      </c>
      <c r="W284">
        <v>0.03</v>
      </c>
      <c r="X284">
        <v>18.43</v>
      </c>
      <c r="BG284">
        <f t="shared" si="143"/>
        <v>0</v>
      </c>
      <c r="BH284">
        <f t="shared" si="144"/>
        <v>0</v>
      </c>
      <c r="BI284">
        <f t="shared" si="145"/>
        <v>0</v>
      </c>
      <c r="BJ284">
        <f t="shared" si="146"/>
        <v>0</v>
      </c>
      <c r="BK284">
        <f t="shared" si="147"/>
        <v>0</v>
      </c>
      <c r="BL284">
        <f t="shared" si="148"/>
        <v>0</v>
      </c>
      <c r="BM284">
        <f t="shared" si="149"/>
        <v>0</v>
      </c>
      <c r="BN284">
        <f t="shared" si="150"/>
        <v>0</v>
      </c>
      <c r="BO284">
        <f t="shared" si="151"/>
        <v>0</v>
      </c>
      <c r="BP284">
        <f t="shared" si="152"/>
        <v>0</v>
      </c>
      <c r="BQ284">
        <f t="shared" si="153"/>
        <v>0</v>
      </c>
      <c r="BR284">
        <f t="shared" si="154"/>
        <v>0</v>
      </c>
      <c r="BS284">
        <f t="shared" si="155"/>
        <v>0</v>
      </c>
      <c r="BT284">
        <f t="shared" si="156"/>
        <v>0</v>
      </c>
      <c r="BU284" t="e">
        <f t="shared" si="157"/>
        <v>#DIV/0!</v>
      </c>
      <c r="BV284" t="e">
        <f t="shared" si="158"/>
        <v>#DIV/0!</v>
      </c>
      <c r="BX284" t="e">
        <f t="shared" si="159"/>
        <v>#DIV/0!</v>
      </c>
      <c r="CF284">
        <v>0.16</v>
      </c>
      <c r="CG284">
        <v>0.2467</v>
      </c>
      <c r="CH284">
        <v>0</v>
      </c>
      <c r="CI284">
        <v>0.11899999999999999</v>
      </c>
      <c r="CJ284">
        <v>0</v>
      </c>
      <c r="CK284">
        <v>0.20480000000000001</v>
      </c>
      <c r="CL284">
        <v>0</v>
      </c>
      <c r="CM284">
        <v>0.2467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1.2999999999999999E-3</v>
      </c>
      <c r="DA284">
        <v>0</v>
      </c>
      <c r="DB284">
        <v>7.6E-3</v>
      </c>
      <c r="DC284" s="24">
        <f t="shared" si="123"/>
        <v>0.11899999999999999</v>
      </c>
      <c r="DD284" s="24">
        <f t="shared" si="124"/>
        <v>0.40670000000000001</v>
      </c>
      <c r="DE284" s="24">
        <f t="shared" si="125"/>
        <v>0.45150000000000001</v>
      </c>
    </row>
    <row r="285" spans="1:109">
      <c r="C285" t="s">
        <v>377</v>
      </c>
      <c r="D285" s="19" t="s">
        <v>376</v>
      </c>
      <c r="G285">
        <v>21.66</v>
      </c>
      <c r="H285">
        <v>10.119999999999999</v>
      </c>
      <c r="I285">
        <v>3.05</v>
      </c>
      <c r="J285">
        <v>10.42</v>
      </c>
      <c r="K285">
        <v>2.75</v>
      </c>
      <c r="L285">
        <f t="shared" si="160"/>
        <v>12.128</v>
      </c>
      <c r="M285">
        <v>2.56</v>
      </c>
      <c r="N285">
        <v>0.13</v>
      </c>
      <c r="O285">
        <v>29.95</v>
      </c>
      <c r="W285">
        <v>0.03</v>
      </c>
      <c r="X285">
        <v>18.63</v>
      </c>
      <c r="BG285">
        <f t="shared" si="143"/>
        <v>0</v>
      </c>
      <c r="BH285">
        <f t="shared" si="144"/>
        <v>0</v>
      </c>
      <c r="BI285">
        <f t="shared" si="145"/>
        <v>0</v>
      </c>
      <c r="BJ285">
        <f t="shared" si="146"/>
        <v>0</v>
      </c>
      <c r="BK285">
        <f t="shared" si="147"/>
        <v>0</v>
      </c>
      <c r="BL285">
        <f t="shared" si="148"/>
        <v>0</v>
      </c>
      <c r="BM285">
        <f t="shared" si="149"/>
        <v>0</v>
      </c>
      <c r="BN285">
        <f t="shared" si="150"/>
        <v>0</v>
      </c>
      <c r="BO285">
        <f t="shared" si="151"/>
        <v>0</v>
      </c>
      <c r="BP285">
        <f t="shared" si="152"/>
        <v>0</v>
      </c>
      <c r="BQ285">
        <f t="shared" si="153"/>
        <v>0</v>
      </c>
      <c r="BR285">
        <f t="shared" si="154"/>
        <v>0</v>
      </c>
      <c r="BS285">
        <f t="shared" si="155"/>
        <v>0</v>
      </c>
      <c r="BT285">
        <f t="shared" si="156"/>
        <v>0</v>
      </c>
      <c r="BU285" t="e">
        <f t="shared" si="157"/>
        <v>#DIV/0!</v>
      </c>
      <c r="BV285" t="e">
        <f t="shared" si="158"/>
        <v>#DIV/0!</v>
      </c>
      <c r="BX285" t="e">
        <f t="shared" si="159"/>
        <v>#DIV/0!</v>
      </c>
      <c r="CF285">
        <v>0.16320000000000001</v>
      </c>
      <c r="CG285">
        <v>0.2492</v>
      </c>
      <c r="CH285">
        <v>0</v>
      </c>
      <c r="CI285">
        <v>0.1043</v>
      </c>
      <c r="CJ285">
        <v>0</v>
      </c>
      <c r="CK285">
        <v>0.21260000000000001</v>
      </c>
      <c r="CL285">
        <v>0</v>
      </c>
      <c r="CM285">
        <v>0.2419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6.9999999999999999E-4</v>
      </c>
      <c r="DA285">
        <v>0</v>
      </c>
      <c r="DB285">
        <v>0</v>
      </c>
      <c r="DC285" s="24">
        <f t="shared" si="123"/>
        <v>0.1043</v>
      </c>
      <c r="DD285" s="24">
        <f t="shared" si="124"/>
        <v>0.41239999999999999</v>
      </c>
      <c r="DE285" s="24">
        <f t="shared" si="125"/>
        <v>0.45450000000000002</v>
      </c>
    </row>
    <row r="286" spans="1:109">
      <c r="C286" t="s">
        <v>377</v>
      </c>
      <c r="D286" s="19" t="s">
        <v>376</v>
      </c>
      <c r="G286">
        <v>21.86</v>
      </c>
      <c r="H286">
        <v>10.119999999999999</v>
      </c>
      <c r="I286">
        <v>3.04</v>
      </c>
      <c r="J286">
        <v>10</v>
      </c>
      <c r="K286">
        <v>3.11</v>
      </c>
      <c r="L286">
        <f t="shared" si="160"/>
        <v>12.11</v>
      </c>
      <c r="M286">
        <v>2.57</v>
      </c>
      <c r="N286">
        <v>0.08</v>
      </c>
      <c r="O286">
        <v>29.89</v>
      </c>
      <c r="W286">
        <v>0</v>
      </c>
      <c r="X286">
        <v>18.690000000000001</v>
      </c>
      <c r="BG286">
        <f t="shared" si="143"/>
        <v>0</v>
      </c>
      <c r="BH286">
        <f t="shared" si="144"/>
        <v>0</v>
      </c>
      <c r="BI286">
        <f t="shared" si="145"/>
        <v>0</v>
      </c>
      <c r="BJ286">
        <f t="shared" si="146"/>
        <v>0</v>
      </c>
      <c r="BK286">
        <f t="shared" si="147"/>
        <v>0</v>
      </c>
      <c r="BL286">
        <f t="shared" si="148"/>
        <v>0</v>
      </c>
      <c r="BM286">
        <f t="shared" si="149"/>
        <v>0</v>
      </c>
      <c r="BN286">
        <f t="shared" si="150"/>
        <v>0</v>
      </c>
      <c r="BO286">
        <f t="shared" si="151"/>
        <v>0</v>
      </c>
      <c r="BP286">
        <f t="shared" si="152"/>
        <v>0</v>
      </c>
      <c r="BQ286">
        <f t="shared" si="153"/>
        <v>0</v>
      </c>
      <c r="BR286">
        <f t="shared" si="154"/>
        <v>0</v>
      </c>
      <c r="BS286">
        <f t="shared" si="155"/>
        <v>0</v>
      </c>
      <c r="BT286">
        <f t="shared" si="156"/>
        <v>0</v>
      </c>
      <c r="BU286" t="e">
        <f t="shared" si="157"/>
        <v>#DIV/0!</v>
      </c>
      <c r="BV286" t="e">
        <f t="shared" si="158"/>
        <v>#DIV/0!</v>
      </c>
      <c r="BX286" t="e">
        <f t="shared" si="159"/>
        <v>#DIV/0!</v>
      </c>
      <c r="CF286">
        <v>0.16239999999999999</v>
      </c>
      <c r="CG286">
        <v>0.25080000000000002</v>
      </c>
      <c r="CH286">
        <v>0</v>
      </c>
      <c r="CI286">
        <v>9.5699999999999993E-2</v>
      </c>
      <c r="CJ286">
        <v>0</v>
      </c>
      <c r="CK286">
        <v>0.2414</v>
      </c>
      <c r="CL286">
        <v>0</v>
      </c>
      <c r="CM286">
        <v>0.21779999999999999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 s="24">
        <f t="shared" si="123"/>
        <v>9.5699999999999993E-2</v>
      </c>
      <c r="DD286" s="24">
        <f t="shared" si="124"/>
        <v>0.41320000000000001</v>
      </c>
      <c r="DE286" s="24">
        <f t="shared" si="125"/>
        <v>0.4592</v>
      </c>
    </row>
    <row r="287" spans="1:109">
      <c r="C287" t="s">
        <v>377</v>
      </c>
      <c r="D287" s="19" t="s">
        <v>376</v>
      </c>
      <c r="G287">
        <v>20.97</v>
      </c>
      <c r="H287">
        <v>9.83</v>
      </c>
      <c r="I287">
        <v>3.32</v>
      </c>
      <c r="J287">
        <v>11.48</v>
      </c>
      <c r="K287">
        <v>1.83</v>
      </c>
      <c r="L287">
        <f t="shared" si="160"/>
        <v>12.162000000000001</v>
      </c>
      <c r="M287">
        <v>2.52</v>
      </c>
      <c r="N287">
        <v>0.1</v>
      </c>
      <c r="O287">
        <v>30.26</v>
      </c>
      <c r="W287">
        <v>0</v>
      </c>
      <c r="X287">
        <v>19.53</v>
      </c>
      <c r="BG287">
        <f t="shared" si="143"/>
        <v>0</v>
      </c>
      <c r="BH287">
        <f t="shared" si="144"/>
        <v>0</v>
      </c>
      <c r="BI287">
        <f t="shared" si="145"/>
        <v>0</v>
      </c>
      <c r="BJ287">
        <f t="shared" si="146"/>
        <v>0</v>
      </c>
      <c r="BK287">
        <f t="shared" si="147"/>
        <v>0</v>
      </c>
      <c r="BL287">
        <f t="shared" si="148"/>
        <v>0</v>
      </c>
      <c r="BM287">
        <f t="shared" si="149"/>
        <v>0</v>
      </c>
      <c r="BN287">
        <f t="shared" si="150"/>
        <v>0</v>
      </c>
      <c r="BO287">
        <f t="shared" si="151"/>
        <v>0</v>
      </c>
      <c r="BP287">
        <f t="shared" si="152"/>
        <v>0</v>
      </c>
      <c r="BQ287">
        <f t="shared" si="153"/>
        <v>0</v>
      </c>
      <c r="BR287">
        <f t="shared" si="154"/>
        <v>0</v>
      </c>
      <c r="BS287">
        <f t="shared" si="155"/>
        <v>0</v>
      </c>
      <c r="BT287">
        <f t="shared" si="156"/>
        <v>0</v>
      </c>
      <c r="BU287" t="e">
        <f t="shared" si="157"/>
        <v>#DIV/0!</v>
      </c>
      <c r="BV287" t="e">
        <f t="shared" si="158"/>
        <v>#DIV/0!</v>
      </c>
      <c r="BX287" t="e">
        <f t="shared" si="159"/>
        <v>#DIV/0!</v>
      </c>
      <c r="CF287">
        <v>0.1774</v>
      </c>
      <c r="CG287">
        <v>0.25430000000000003</v>
      </c>
      <c r="CH287">
        <v>0</v>
      </c>
      <c r="CI287">
        <v>0.1177</v>
      </c>
      <c r="CJ287">
        <v>0</v>
      </c>
      <c r="CK287">
        <v>0.14729999999999999</v>
      </c>
      <c r="CL287">
        <v>0</v>
      </c>
      <c r="CM287">
        <v>0.28320000000000001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2.5999999999999999E-3</v>
      </c>
      <c r="DA287">
        <v>0</v>
      </c>
      <c r="DB287">
        <v>1.29E-2</v>
      </c>
      <c r="DC287" s="24">
        <f t="shared" si="123"/>
        <v>0.1177</v>
      </c>
      <c r="DD287" s="24">
        <f t="shared" si="124"/>
        <v>0.43170000000000003</v>
      </c>
      <c r="DE287" s="24">
        <f t="shared" si="125"/>
        <v>0.43049999999999999</v>
      </c>
    </row>
    <row r="288" spans="1:109">
      <c r="BG288">
        <f t="shared" si="143"/>
        <v>0</v>
      </c>
      <c r="BH288">
        <f t="shared" si="144"/>
        <v>0</v>
      </c>
      <c r="BI288">
        <f t="shared" si="145"/>
        <v>0</v>
      </c>
      <c r="BJ288">
        <f t="shared" si="146"/>
        <v>0</v>
      </c>
      <c r="BK288">
        <f t="shared" si="147"/>
        <v>0</v>
      </c>
      <c r="BL288">
        <f t="shared" si="148"/>
        <v>0</v>
      </c>
      <c r="BM288">
        <f t="shared" si="149"/>
        <v>0</v>
      </c>
      <c r="BN288">
        <f t="shared" si="150"/>
        <v>0</v>
      </c>
      <c r="BO288">
        <f t="shared" si="151"/>
        <v>0</v>
      </c>
      <c r="BP288">
        <f t="shared" si="152"/>
        <v>0</v>
      </c>
      <c r="BQ288">
        <f t="shared" si="153"/>
        <v>0</v>
      </c>
      <c r="BR288">
        <f t="shared" si="154"/>
        <v>0</v>
      </c>
      <c r="BS288">
        <f t="shared" si="155"/>
        <v>0</v>
      </c>
      <c r="BT288">
        <f t="shared" si="156"/>
        <v>0</v>
      </c>
      <c r="BU288" t="e">
        <f t="shared" si="157"/>
        <v>#DIV/0!</v>
      </c>
      <c r="BV288" t="e">
        <f t="shared" si="158"/>
        <v>#DIV/0!</v>
      </c>
      <c r="BX288" t="e">
        <f t="shared" si="159"/>
        <v>#DIV/0!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 s="24">
        <f t="shared" si="123"/>
        <v>0</v>
      </c>
      <c r="DD288" s="24">
        <f t="shared" si="124"/>
        <v>0</v>
      </c>
      <c r="DE288" s="24">
        <f t="shared" si="125"/>
        <v>0</v>
      </c>
    </row>
    <row r="289" spans="1:109">
      <c r="A289" t="s">
        <v>379</v>
      </c>
      <c r="B289">
        <v>1</v>
      </c>
      <c r="C289" t="s">
        <v>305</v>
      </c>
      <c r="D289" s="19" t="s">
        <v>378</v>
      </c>
      <c r="G289">
        <v>27.11</v>
      </c>
      <c r="H289">
        <v>18.82</v>
      </c>
      <c r="I289">
        <v>0.8</v>
      </c>
      <c r="J289">
        <v>11.87</v>
      </c>
      <c r="K289">
        <v>7.55</v>
      </c>
      <c r="L289">
        <f t="shared" si="160"/>
        <v>18.233000000000001</v>
      </c>
      <c r="M289">
        <v>0.88</v>
      </c>
      <c r="N289">
        <v>0.19</v>
      </c>
      <c r="O289">
        <v>31.82</v>
      </c>
      <c r="X289">
        <v>1.24</v>
      </c>
      <c r="BG289">
        <f t="shared" si="143"/>
        <v>0</v>
      </c>
      <c r="BH289">
        <f t="shared" si="144"/>
        <v>0</v>
      </c>
      <c r="BI289">
        <f t="shared" si="145"/>
        <v>0</v>
      </c>
      <c r="BJ289">
        <f t="shared" si="146"/>
        <v>0</v>
      </c>
      <c r="BK289">
        <f t="shared" si="147"/>
        <v>0</v>
      </c>
      <c r="BL289">
        <f t="shared" si="148"/>
        <v>0</v>
      </c>
      <c r="BM289">
        <f t="shared" si="149"/>
        <v>0</v>
      </c>
      <c r="BN289">
        <f t="shared" si="150"/>
        <v>0</v>
      </c>
      <c r="BO289">
        <f t="shared" si="151"/>
        <v>0</v>
      </c>
      <c r="BP289">
        <f t="shared" si="152"/>
        <v>0</v>
      </c>
      <c r="BQ289">
        <f t="shared" si="153"/>
        <v>0</v>
      </c>
      <c r="BR289">
        <f t="shared" si="154"/>
        <v>0</v>
      </c>
      <c r="BS289">
        <f t="shared" si="155"/>
        <v>0</v>
      </c>
      <c r="BT289">
        <f t="shared" si="156"/>
        <v>0</v>
      </c>
      <c r="BU289" t="e">
        <f t="shared" si="157"/>
        <v>#DIV/0!</v>
      </c>
      <c r="BV289" t="e">
        <f t="shared" si="158"/>
        <v>#DIV/0!</v>
      </c>
      <c r="BX289" t="e">
        <f t="shared" si="159"/>
        <v>#DIV/0!</v>
      </c>
      <c r="CF289">
        <v>2.58E-2</v>
      </c>
      <c r="CG289">
        <v>0</v>
      </c>
      <c r="CH289">
        <v>0</v>
      </c>
      <c r="CI289">
        <v>0.30159999999999998</v>
      </c>
      <c r="CJ289">
        <v>1.44E-2</v>
      </c>
      <c r="CK289">
        <v>0.53890000000000005</v>
      </c>
      <c r="CL289">
        <v>0</v>
      </c>
      <c r="CM289">
        <v>3.8899999999999997E-2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5.1400000000000001E-2</v>
      </c>
      <c r="CZ289">
        <v>4.5999999999999999E-3</v>
      </c>
      <c r="DA289">
        <v>0</v>
      </c>
      <c r="DB289">
        <v>2.4400000000000002E-2</v>
      </c>
      <c r="DC289" s="24">
        <f t="shared" si="123"/>
        <v>0.316</v>
      </c>
      <c r="DD289" s="24">
        <f t="shared" si="124"/>
        <v>2.58E-2</v>
      </c>
      <c r="DE289" s="24">
        <f t="shared" si="125"/>
        <v>0.57780000000000009</v>
      </c>
    </row>
    <row r="290" spans="1:109">
      <c r="B290">
        <v>2</v>
      </c>
      <c r="C290" t="s">
        <v>305</v>
      </c>
      <c r="D290" s="19" t="s">
        <v>378</v>
      </c>
      <c r="G290">
        <v>28.39</v>
      </c>
      <c r="H290">
        <v>10.78</v>
      </c>
      <c r="I290">
        <v>3.81</v>
      </c>
      <c r="J290">
        <v>18.489999999999998</v>
      </c>
      <c r="K290">
        <v>2.9</v>
      </c>
      <c r="L290">
        <f t="shared" si="160"/>
        <v>19.540999999999997</v>
      </c>
      <c r="M290">
        <v>0.5</v>
      </c>
      <c r="N290">
        <v>0.11</v>
      </c>
      <c r="O290">
        <v>32.479999999999997</v>
      </c>
      <c r="X290">
        <v>3.19</v>
      </c>
      <c r="BG290">
        <f t="shared" si="143"/>
        <v>0</v>
      </c>
      <c r="BH290">
        <f t="shared" si="144"/>
        <v>0</v>
      </c>
      <c r="BI290">
        <f t="shared" si="145"/>
        <v>0</v>
      </c>
      <c r="BJ290">
        <f t="shared" si="146"/>
        <v>0</v>
      </c>
      <c r="BK290">
        <f t="shared" si="147"/>
        <v>0</v>
      </c>
      <c r="BL290">
        <f t="shared" si="148"/>
        <v>0</v>
      </c>
      <c r="BM290">
        <f t="shared" si="149"/>
        <v>0</v>
      </c>
      <c r="BN290">
        <f t="shared" si="150"/>
        <v>0</v>
      </c>
      <c r="BO290">
        <f t="shared" si="151"/>
        <v>0</v>
      </c>
      <c r="BP290">
        <f t="shared" si="152"/>
        <v>0</v>
      </c>
      <c r="BQ290">
        <f t="shared" si="153"/>
        <v>0</v>
      </c>
      <c r="BR290">
        <f t="shared" si="154"/>
        <v>0</v>
      </c>
      <c r="BS290">
        <f t="shared" si="155"/>
        <v>0</v>
      </c>
      <c r="BT290">
        <f t="shared" si="156"/>
        <v>0</v>
      </c>
      <c r="BU290" t="e">
        <f t="shared" si="157"/>
        <v>#DIV/0!</v>
      </c>
      <c r="BV290" t="e">
        <f t="shared" si="158"/>
        <v>#DIV/0!</v>
      </c>
      <c r="BX290" t="e">
        <f t="shared" si="159"/>
        <v>#DIV/0!</v>
      </c>
      <c r="CF290">
        <v>6.5799999999999997E-2</v>
      </c>
      <c r="CG290">
        <v>0</v>
      </c>
      <c r="CH290">
        <v>0</v>
      </c>
      <c r="CI290">
        <v>0.1086</v>
      </c>
      <c r="CJ290">
        <v>0.1242</v>
      </c>
      <c r="CK290">
        <v>0.20449999999999999</v>
      </c>
      <c r="CL290">
        <v>0</v>
      </c>
      <c r="CM290">
        <v>1.6199999999999999E-2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0.46239999999999998</v>
      </c>
      <c r="CZ290">
        <v>2.5999999999999999E-3</v>
      </c>
      <c r="DA290">
        <v>0</v>
      </c>
      <c r="DB290">
        <v>1.5599999999999999E-2</v>
      </c>
      <c r="DC290" s="24">
        <f t="shared" si="123"/>
        <v>0.23280000000000001</v>
      </c>
      <c r="DD290" s="24">
        <f t="shared" si="124"/>
        <v>6.5799999999999997E-2</v>
      </c>
      <c r="DE290" s="24">
        <f t="shared" si="125"/>
        <v>0.22069999999999998</v>
      </c>
    </row>
    <row r="291" spans="1:109">
      <c r="B291">
        <v>3</v>
      </c>
      <c r="C291" t="s">
        <v>305</v>
      </c>
      <c r="D291" s="19" t="s">
        <v>378</v>
      </c>
      <c r="G291">
        <v>25.26</v>
      </c>
      <c r="H291">
        <v>16.91</v>
      </c>
      <c r="I291">
        <v>5</v>
      </c>
      <c r="J291">
        <v>8.09</v>
      </c>
      <c r="K291">
        <v>3.82</v>
      </c>
      <c r="L291">
        <f t="shared" si="160"/>
        <v>11.100999999999999</v>
      </c>
      <c r="M291">
        <v>1.65</v>
      </c>
      <c r="N291">
        <v>0.17</v>
      </c>
      <c r="O291">
        <v>32.619999999999997</v>
      </c>
      <c r="X291">
        <v>5.68</v>
      </c>
      <c r="BG291">
        <f t="shared" si="143"/>
        <v>0</v>
      </c>
      <c r="BH291">
        <f t="shared" si="144"/>
        <v>0</v>
      </c>
      <c r="BI291">
        <f t="shared" si="145"/>
        <v>0</v>
      </c>
      <c r="BJ291">
        <f t="shared" si="146"/>
        <v>0</v>
      </c>
      <c r="BK291">
        <f t="shared" si="147"/>
        <v>0</v>
      </c>
      <c r="BL291">
        <f t="shared" si="148"/>
        <v>0</v>
      </c>
      <c r="BM291">
        <f t="shared" si="149"/>
        <v>0</v>
      </c>
      <c r="BN291">
        <f t="shared" si="150"/>
        <v>0</v>
      </c>
      <c r="BO291">
        <f t="shared" si="151"/>
        <v>0</v>
      </c>
      <c r="BP291">
        <f t="shared" si="152"/>
        <v>0</v>
      </c>
      <c r="BQ291">
        <f t="shared" si="153"/>
        <v>0</v>
      </c>
      <c r="BR291">
        <f t="shared" si="154"/>
        <v>0</v>
      </c>
      <c r="BS291">
        <f t="shared" si="155"/>
        <v>0</v>
      </c>
      <c r="BT291">
        <f t="shared" si="156"/>
        <v>0</v>
      </c>
      <c r="BU291" t="e">
        <f t="shared" si="157"/>
        <v>#DIV/0!</v>
      </c>
      <c r="BV291" t="e">
        <f t="shared" si="158"/>
        <v>#DIV/0!</v>
      </c>
      <c r="BX291" t="e">
        <f t="shared" si="159"/>
        <v>#DIV/0!</v>
      </c>
      <c r="CF291">
        <v>0.11849999999999999</v>
      </c>
      <c r="CG291">
        <v>0</v>
      </c>
      <c r="CH291">
        <v>0</v>
      </c>
      <c r="CI291">
        <v>0.16700000000000001</v>
      </c>
      <c r="CJ291">
        <v>0.1336</v>
      </c>
      <c r="CK291">
        <v>0.27360000000000001</v>
      </c>
      <c r="CL291">
        <v>0</v>
      </c>
      <c r="CM291">
        <v>0.21049999999999999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9.35E-2</v>
      </c>
      <c r="CZ291">
        <v>0</v>
      </c>
      <c r="DA291">
        <v>0</v>
      </c>
      <c r="DB291">
        <v>0</v>
      </c>
      <c r="DC291" s="24">
        <f t="shared" si="123"/>
        <v>0.30059999999999998</v>
      </c>
      <c r="DD291" s="24">
        <f t="shared" si="124"/>
        <v>0.11849999999999999</v>
      </c>
      <c r="DE291" s="24">
        <f t="shared" si="125"/>
        <v>0.48409999999999997</v>
      </c>
    </row>
    <row r="292" spans="1:109">
      <c r="B292">
        <v>4</v>
      </c>
      <c r="C292" t="s">
        <v>305</v>
      </c>
      <c r="D292" s="19" t="s">
        <v>378</v>
      </c>
      <c r="G292">
        <v>24.85</v>
      </c>
      <c r="H292">
        <v>12.11</v>
      </c>
      <c r="I292">
        <v>4.3600000000000003</v>
      </c>
      <c r="J292">
        <v>16.47</v>
      </c>
      <c r="K292">
        <v>3.29</v>
      </c>
      <c r="L292">
        <f t="shared" si="160"/>
        <v>18.113</v>
      </c>
      <c r="M292">
        <v>0.39</v>
      </c>
      <c r="N292">
        <v>0.03</v>
      </c>
      <c r="O292">
        <v>31.53</v>
      </c>
      <c r="X292">
        <v>6.81</v>
      </c>
      <c r="BG292">
        <f t="shared" si="143"/>
        <v>0</v>
      </c>
      <c r="BH292">
        <f t="shared" si="144"/>
        <v>0</v>
      </c>
      <c r="BI292">
        <f t="shared" si="145"/>
        <v>0</v>
      </c>
      <c r="BJ292">
        <f t="shared" si="146"/>
        <v>0</v>
      </c>
      <c r="BK292">
        <f t="shared" si="147"/>
        <v>0</v>
      </c>
      <c r="BL292">
        <f t="shared" si="148"/>
        <v>0</v>
      </c>
      <c r="BM292">
        <f t="shared" si="149"/>
        <v>0</v>
      </c>
      <c r="BN292">
        <f t="shared" si="150"/>
        <v>0</v>
      </c>
      <c r="BO292">
        <f t="shared" si="151"/>
        <v>0</v>
      </c>
      <c r="BP292">
        <f t="shared" si="152"/>
        <v>0</v>
      </c>
      <c r="BQ292">
        <f t="shared" si="153"/>
        <v>0</v>
      </c>
      <c r="BR292">
        <f t="shared" si="154"/>
        <v>0</v>
      </c>
      <c r="BS292">
        <f t="shared" si="155"/>
        <v>0</v>
      </c>
      <c r="BT292">
        <f t="shared" si="156"/>
        <v>0</v>
      </c>
      <c r="BU292" t="e">
        <f t="shared" si="157"/>
        <v>#DIV/0!</v>
      </c>
      <c r="BV292" t="e">
        <f t="shared" si="158"/>
        <v>#DIV/0!</v>
      </c>
      <c r="BX292" t="e">
        <f t="shared" si="159"/>
        <v>#DIV/0!</v>
      </c>
      <c r="CF292">
        <v>0.1444</v>
      </c>
      <c r="CG292">
        <v>0</v>
      </c>
      <c r="CH292">
        <v>0</v>
      </c>
      <c r="CI292">
        <v>0.19550000000000001</v>
      </c>
      <c r="CJ292">
        <v>7.9100000000000004E-2</v>
      </c>
      <c r="CK292">
        <v>0.24329999999999999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0.31730000000000003</v>
      </c>
      <c r="CZ292">
        <v>6.9999999999999999E-4</v>
      </c>
      <c r="DA292">
        <v>2.7000000000000001E-3</v>
      </c>
      <c r="DB292">
        <v>1.6899999999999998E-2</v>
      </c>
      <c r="DC292" s="24">
        <f t="shared" si="123"/>
        <v>0.27460000000000001</v>
      </c>
      <c r="DD292" s="24">
        <f t="shared" si="124"/>
        <v>0.1444</v>
      </c>
      <c r="DE292" s="24">
        <f t="shared" si="125"/>
        <v>0.24329999999999999</v>
      </c>
    </row>
    <row r="293" spans="1:109" ht="15" thickBot="1">
      <c r="B293">
        <v>5</v>
      </c>
      <c r="C293" t="s">
        <v>305</v>
      </c>
      <c r="D293" s="19" t="s">
        <v>378</v>
      </c>
      <c r="G293">
        <v>24.08</v>
      </c>
      <c r="H293">
        <v>11.99</v>
      </c>
      <c r="I293">
        <v>4.32</v>
      </c>
      <c r="J293">
        <v>17.260000000000002</v>
      </c>
      <c r="K293">
        <v>2.62</v>
      </c>
      <c r="L293">
        <f t="shared" si="160"/>
        <v>18.154000000000003</v>
      </c>
      <c r="M293">
        <v>0.36</v>
      </c>
      <c r="N293">
        <v>0.05</v>
      </c>
      <c r="O293">
        <v>31.56</v>
      </c>
      <c r="X293">
        <v>7.34</v>
      </c>
      <c r="BG293">
        <f t="shared" si="143"/>
        <v>0</v>
      </c>
      <c r="BH293">
        <f t="shared" si="144"/>
        <v>0</v>
      </c>
      <c r="BI293">
        <f t="shared" si="145"/>
        <v>0</v>
      </c>
      <c r="BJ293">
        <f t="shared" si="146"/>
        <v>0</v>
      </c>
      <c r="BK293">
        <f t="shared" si="147"/>
        <v>0</v>
      </c>
      <c r="BL293">
        <f t="shared" si="148"/>
        <v>0</v>
      </c>
      <c r="BM293">
        <f t="shared" si="149"/>
        <v>0</v>
      </c>
      <c r="BN293">
        <f t="shared" si="150"/>
        <v>0</v>
      </c>
      <c r="BO293">
        <f t="shared" si="151"/>
        <v>0</v>
      </c>
      <c r="BP293">
        <f t="shared" si="152"/>
        <v>0</v>
      </c>
      <c r="BQ293">
        <f t="shared" si="153"/>
        <v>0</v>
      </c>
      <c r="BR293">
        <f t="shared" si="154"/>
        <v>0</v>
      </c>
      <c r="BS293">
        <f t="shared" si="155"/>
        <v>0</v>
      </c>
      <c r="BT293">
        <f t="shared" si="156"/>
        <v>0</v>
      </c>
      <c r="BU293" t="e">
        <f t="shared" si="157"/>
        <v>#DIV/0!</v>
      </c>
      <c r="BV293" t="e">
        <f t="shared" si="158"/>
        <v>#DIV/0!</v>
      </c>
      <c r="BX293" t="e">
        <f t="shared" si="159"/>
        <v>#DIV/0!</v>
      </c>
      <c r="CF293">
        <v>0.15670000000000001</v>
      </c>
      <c r="CG293">
        <v>0</v>
      </c>
      <c r="CH293">
        <v>0</v>
      </c>
      <c r="CI293">
        <v>0.22259999999999999</v>
      </c>
      <c r="CJ293">
        <v>6.6199999999999995E-2</v>
      </c>
      <c r="CK293">
        <v>0.2001</v>
      </c>
      <c r="CL293">
        <v>0</v>
      </c>
      <c r="CM293">
        <v>1.2200000000000001E-2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0.32929999999999998</v>
      </c>
      <c r="CZ293">
        <v>1.1999999999999999E-3</v>
      </c>
      <c r="DA293">
        <v>0</v>
      </c>
      <c r="DB293">
        <v>1.1599999999999999E-2</v>
      </c>
      <c r="DC293" s="24">
        <f t="shared" si="123"/>
        <v>0.2888</v>
      </c>
      <c r="DD293" s="24">
        <f t="shared" si="124"/>
        <v>0.15670000000000001</v>
      </c>
      <c r="DE293" s="24">
        <f t="shared" si="125"/>
        <v>0.21229999999999999</v>
      </c>
    </row>
    <row r="294" spans="1:109" ht="15" thickBot="1">
      <c r="G294" s="75"/>
      <c r="H294" s="75"/>
      <c r="I294" s="75"/>
      <c r="J294" s="75"/>
      <c r="M294" s="75"/>
      <c r="N294" s="75"/>
      <c r="O294" s="75"/>
      <c r="BG294">
        <f t="shared" si="143"/>
        <v>0</v>
      </c>
      <c r="BH294">
        <f t="shared" si="144"/>
        <v>0</v>
      </c>
      <c r="BI294">
        <f t="shared" si="145"/>
        <v>0</v>
      </c>
      <c r="BJ294">
        <f t="shared" si="146"/>
        <v>0</v>
      </c>
      <c r="BK294">
        <f t="shared" si="147"/>
        <v>0</v>
      </c>
      <c r="BL294">
        <f t="shared" si="148"/>
        <v>0</v>
      </c>
      <c r="BM294">
        <f t="shared" si="149"/>
        <v>0</v>
      </c>
      <c r="BN294">
        <f t="shared" si="150"/>
        <v>0</v>
      </c>
      <c r="BO294">
        <f t="shared" si="151"/>
        <v>0</v>
      </c>
      <c r="BP294">
        <f t="shared" si="152"/>
        <v>0</v>
      </c>
      <c r="BQ294">
        <f t="shared" si="153"/>
        <v>0</v>
      </c>
      <c r="BR294">
        <f t="shared" si="154"/>
        <v>0</v>
      </c>
      <c r="BS294">
        <f t="shared" si="155"/>
        <v>0</v>
      </c>
      <c r="BT294">
        <f t="shared" si="156"/>
        <v>0</v>
      </c>
      <c r="BU294" t="e">
        <f t="shared" si="157"/>
        <v>#DIV/0!</v>
      </c>
      <c r="BV294" t="e">
        <f t="shared" si="158"/>
        <v>#DIV/0!</v>
      </c>
      <c r="BX294" t="e">
        <f t="shared" si="159"/>
        <v>#DIV/0!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 s="24">
        <f t="shared" si="123"/>
        <v>0</v>
      </c>
      <c r="DD294" s="24">
        <f t="shared" si="124"/>
        <v>0</v>
      </c>
      <c r="DE294" s="24">
        <f t="shared" si="125"/>
        <v>0</v>
      </c>
    </row>
    <row r="295" spans="1:109">
      <c r="A295" t="s">
        <v>386</v>
      </c>
      <c r="B295" t="s">
        <v>380</v>
      </c>
      <c r="C295" t="s">
        <v>385</v>
      </c>
      <c r="D295" s="19" t="s">
        <v>387</v>
      </c>
      <c r="G295">
        <v>24.11</v>
      </c>
      <c r="H295">
        <v>15.11</v>
      </c>
      <c r="I295">
        <v>4.21</v>
      </c>
      <c r="J295">
        <v>15.59</v>
      </c>
      <c r="L295">
        <f t="shared" si="160"/>
        <v>14.031000000000001</v>
      </c>
      <c r="M295">
        <v>2.41</v>
      </c>
      <c r="N295">
        <v>0.05</v>
      </c>
      <c r="O295">
        <v>31.27</v>
      </c>
      <c r="X295">
        <v>6.26</v>
      </c>
      <c r="BG295">
        <f t="shared" si="143"/>
        <v>0</v>
      </c>
      <c r="BH295">
        <f t="shared" si="144"/>
        <v>0</v>
      </c>
      <c r="BI295">
        <f t="shared" si="145"/>
        <v>0</v>
      </c>
      <c r="BJ295">
        <f t="shared" si="146"/>
        <v>0</v>
      </c>
      <c r="BK295">
        <f t="shared" si="147"/>
        <v>0</v>
      </c>
      <c r="BL295">
        <f t="shared" si="148"/>
        <v>0</v>
      </c>
      <c r="BM295">
        <f t="shared" si="149"/>
        <v>0</v>
      </c>
      <c r="BN295">
        <f t="shared" si="150"/>
        <v>0</v>
      </c>
      <c r="BO295">
        <f t="shared" si="151"/>
        <v>0</v>
      </c>
      <c r="BP295">
        <f t="shared" si="152"/>
        <v>0</v>
      </c>
      <c r="BQ295">
        <f t="shared" si="153"/>
        <v>0</v>
      </c>
      <c r="BR295">
        <f t="shared" si="154"/>
        <v>0</v>
      </c>
      <c r="BS295">
        <f t="shared" si="155"/>
        <v>0</v>
      </c>
      <c r="BT295">
        <f t="shared" si="156"/>
        <v>0</v>
      </c>
      <c r="BU295" t="e">
        <f t="shared" si="157"/>
        <v>#DIV/0!</v>
      </c>
      <c r="BV295" t="e">
        <f t="shared" si="158"/>
        <v>#DIV/0!</v>
      </c>
      <c r="BX295" t="e">
        <f t="shared" si="159"/>
        <v>#DIV/0!</v>
      </c>
      <c r="CF295">
        <v>0.13220000000000001</v>
      </c>
      <c r="CG295">
        <v>0</v>
      </c>
      <c r="CH295">
        <v>0</v>
      </c>
      <c r="CI295">
        <v>0.24099999999999999</v>
      </c>
      <c r="CJ295">
        <v>8.2699999999999996E-2</v>
      </c>
      <c r="CK295">
        <v>0.12039999999999999</v>
      </c>
      <c r="CL295">
        <v>0</v>
      </c>
      <c r="CM295">
        <v>0.2167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0.17419999999999999</v>
      </c>
      <c r="CZ295">
        <v>1.1999999999999999E-3</v>
      </c>
      <c r="DA295">
        <v>0</v>
      </c>
      <c r="DB295">
        <v>3.15E-2</v>
      </c>
      <c r="DC295" s="24">
        <f t="shared" si="123"/>
        <v>0.32369999999999999</v>
      </c>
      <c r="DD295" s="24">
        <f t="shared" si="124"/>
        <v>0.13220000000000001</v>
      </c>
      <c r="DE295" s="24">
        <f t="shared" si="125"/>
        <v>0.33710000000000001</v>
      </c>
    </row>
    <row r="296" spans="1:109">
      <c r="A296" t="s">
        <v>386</v>
      </c>
      <c r="B296" t="s">
        <v>381</v>
      </c>
      <c r="C296" t="s">
        <v>385</v>
      </c>
      <c r="D296" s="19" t="s">
        <v>387</v>
      </c>
      <c r="G296">
        <v>23.8</v>
      </c>
      <c r="H296">
        <v>13.65</v>
      </c>
      <c r="I296">
        <v>4.47</v>
      </c>
      <c r="J296">
        <v>15.11</v>
      </c>
      <c r="L296">
        <f t="shared" si="160"/>
        <v>13.599</v>
      </c>
      <c r="M296">
        <v>2.6</v>
      </c>
      <c r="N296">
        <v>0.05</v>
      </c>
      <c r="O296">
        <v>31.65</v>
      </c>
      <c r="X296">
        <v>8.2799999999999994</v>
      </c>
      <c r="BG296">
        <f t="shared" si="143"/>
        <v>0</v>
      </c>
      <c r="BH296">
        <f t="shared" si="144"/>
        <v>0</v>
      </c>
      <c r="BI296">
        <f t="shared" si="145"/>
        <v>0</v>
      </c>
      <c r="BJ296">
        <f t="shared" si="146"/>
        <v>0</v>
      </c>
      <c r="BK296">
        <f t="shared" si="147"/>
        <v>0</v>
      </c>
      <c r="BL296">
        <f t="shared" si="148"/>
        <v>0</v>
      </c>
      <c r="BM296">
        <f t="shared" si="149"/>
        <v>0</v>
      </c>
      <c r="BN296">
        <f t="shared" si="150"/>
        <v>0</v>
      </c>
      <c r="BO296">
        <f t="shared" si="151"/>
        <v>0</v>
      </c>
      <c r="BP296">
        <f t="shared" si="152"/>
        <v>0</v>
      </c>
      <c r="BQ296">
        <f t="shared" si="153"/>
        <v>0</v>
      </c>
      <c r="BR296">
        <f t="shared" si="154"/>
        <v>0</v>
      </c>
      <c r="BS296">
        <f t="shared" si="155"/>
        <v>0</v>
      </c>
      <c r="BT296">
        <f t="shared" si="156"/>
        <v>0</v>
      </c>
      <c r="BU296" t="e">
        <f t="shared" si="157"/>
        <v>#DIV/0!</v>
      </c>
      <c r="BV296" t="e">
        <f t="shared" si="158"/>
        <v>#DIV/0!</v>
      </c>
      <c r="BX296" t="e">
        <f t="shared" si="159"/>
        <v>#DIV/0!</v>
      </c>
      <c r="CF296">
        <v>0.1744</v>
      </c>
      <c r="CG296">
        <v>0</v>
      </c>
      <c r="CH296">
        <v>0</v>
      </c>
      <c r="CI296">
        <v>0.24399999999999999</v>
      </c>
      <c r="CJ296">
        <v>5.3199999999999997E-2</v>
      </c>
      <c r="CK296">
        <v>2.3900000000000001E-2</v>
      </c>
      <c r="CL296">
        <v>0</v>
      </c>
      <c r="CM296">
        <v>0.26900000000000002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0.2122</v>
      </c>
      <c r="CZ296">
        <v>1.1999999999999999E-3</v>
      </c>
      <c r="DA296">
        <v>0</v>
      </c>
      <c r="DB296">
        <v>2.1999999999999999E-2</v>
      </c>
      <c r="DC296" s="24">
        <f t="shared" si="123"/>
        <v>0.29720000000000002</v>
      </c>
      <c r="DD296" s="24">
        <f t="shared" si="124"/>
        <v>0.1744</v>
      </c>
      <c r="DE296" s="24">
        <f t="shared" si="125"/>
        <v>0.29289999999999999</v>
      </c>
    </row>
    <row r="297" spans="1:109">
      <c r="A297" t="s">
        <v>386</v>
      </c>
      <c r="B297" t="s">
        <v>382</v>
      </c>
      <c r="C297" t="s">
        <v>385</v>
      </c>
      <c r="D297" s="19" t="s">
        <v>387</v>
      </c>
      <c r="G297">
        <v>25</v>
      </c>
      <c r="H297">
        <v>14.21</v>
      </c>
      <c r="I297">
        <v>4.24</v>
      </c>
      <c r="J297">
        <v>15.54</v>
      </c>
      <c r="L297">
        <f t="shared" si="160"/>
        <v>13.985999999999999</v>
      </c>
      <c r="M297">
        <v>2.59</v>
      </c>
      <c r="O297">
        <v>31.2</v>
      </c>
      <c r="X297">
        <v>6.75</v>
      </c>
      <c r="BG297">
        <f t="shared" si="143"/>
        <v>0</v>
      </c>
      <c r="BH297">
        <f t="shared" si="144"/>
        <v>0</v>
      </c>
      <c r="BI297">
        <f t="shared" si="145"/>
        <v>0</v>
      </c>
      <c r="BJ297">
        <f t="shared" si="146"/>
        <v>0</v>
      </c>
      <c r="BK297">
        <f t="shared" si="147"/>
        <v>0</v>
      </c>
      <c r="BL297">
        <f t="shared" si="148"/>
        <v>0</v>
      </c>
      <c r="BM297">
        <f t="shared" si="149"/>
        <v>0</v>
      </c>
      <c r="BN297">
        <f t="shared" si="150"/>
        <v>0</v>
      </c>
      <c r="BO297">
        <f t="shared" si="151"/>
        <v>0</v>
      </c>
      <c r="BP297">
        <f t="shared" si="152"/>
        <v>0</v>
      </c>
      <c r="BQ297">
        <f t="shared" si="153"/>
        <v>0</v>
      </c>
      <c r="BR297">
        <f t="shared" si="154"/>
        <v>0</v>
      </c>
      <c r="BS297">
        <f t="shared" si="155"/>
        <v>0</v>
      </c>
      <c r="BT297">
        <f t="shared" si="156"/>
        <v>0</v>
      </c>
      <c r="BU297" t="e">
        <f t="shared" si="157"/>
        <v>#DIV/0!</v>
      </c>
      <c r="BV297" t="e">
        <f t="shared" si="158"/>
        <v>#DIV/0!</v>
      </c>
      <c r="BX297" t="e">
        <f t="shared" si="159"/>
        <v>#DIV/0!</v>
      </c>
      <c r="CF297">
        <v>0.1416</v>
      </c>
      <c r="CG297">
        <v>0</v>
      </c>
      <c r="CH297">
        <v>0</v>
      </c>
      <c r="CI297">
        <v>0.20930000000000001</v>
      </c>
      <c r="CJ297">
        <v>7.3400000000000007E-2</v>
      </c>
      <c r="CK297">
        <v>0.14549999999999999</v>
      </c>
      <c r="CL297">
        <v>0</v>
      </c>
      <c r="CM297">
        <v>0.20899999999999999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0.18010000000000001</v>
      </c>
      <c r="CZ297">
        <v>0</v>
      </c>
      <c r="DA297">
        <v>0</v>
      </c>
      <c r="DB297">
        <v>4.1099999999999998E-2</v>
      </c>
      <c r="DC297" s="24">
        <f t="shared" si="123"/>
        <v>0.28270000000000001</v>
      </c>
      <c r="DD297" s="24">
        <f t="shared" si="124"/>
        <v>0.1416</v>
      </c>
      <c r="DE297" s="24">
        <f t="shared" si="125"/>
        <v>0.35449999999999998</v>
      </c>
    </row>
    <row r="298" spans="1:109">
      <c r="A298" t="s">
        <v>386</v>
      </c>
      <c r="B298" t="s">
        <v>383</v>
      </c>
      <c r="C298" t="s">
        <v>385</v>
      </c>
      <c r="D298" s="19" t="s">
        <v>387</v>
      </c>
      <c r="G298">
        <v>23.72</v>
      </c>
      <c r="H298">
        <v>11.45</v>
      </c>
      <c r="I298">
        <v>4.37</v>
      </c>
      <c r="J298">
        <v>15</v>
      </c>
      <c r="L298">
        <f t="shared" si="160"/>
        <v>13.5</v>
      </c>
      <c r="M298">
        <v>2.29</v>
      </c>
      <c r="O298">
        <v>31</v>
      </c>
      <c r="X298">
        <v>11.21</v>
      </c>
      <c r="BG298">
        <f t="shared" si="143"/>
        <v>0</v>
      </c>
      <c r="BH298">
        <f t="shared" si="144"/>
        <v>0</v>
      </c>
      <c r="BI298">
        <f t="shared" si="145"/>
        <v>0</v>
      </c>
      <c r="BJ298">
        <f t="shared" si="146"/>
        <v>0</v>
      </c>
      <c r="BK298">
        <f t="shared" si="147"/>
        <v>0</v>
      </c>
      <c r="BL298">
        <f t="shared" si="148"/>
        <v>0</v>
      </c>
      <c r="BM298">
        <f t="shared" si="149"/>
        <v>0</v>
      </c>
      <c r="BN298">
        <f t="shared" si="150"/>
        <v>0</v>
      </c>
      <c r="BO298">
        <f t="shared" si="151"/>
        <v>0</v>
      </c>
      <c r="BP298">
        <f t="shared" si="152"/>
        <v>0</v>
      </c>
      <c r="BQ298">
        <f t="shared" si="153"/>
        <v>0</v>
      </c>
      <c r="BR298">
        <f t="shared" si="154"/>
        <v>0</v>
      </c>
      <c r="BS298">
        <f t="shared" si="155"/>
        <v>0</v>
      </c>
      <c r="BT298">
        <f t="shared" si="156"/>
        <v>0</v>
      </c>
      <c r="BU298" t="e">
        <f t="shared" si="157"/>
        <v>#DIV/0!</v>
      </c>
      <c r="BV298" t="e">
        <f t="shared" si="158"/>
        <v>#DIV/0!</v>
      </c>
      <c r="BX298" t="e">
        <f t="shared" si="159"/>
        <v>#DIV/0!</v>
      </c>
      <c r="CF298">
        <v>0.22670000000000001</v>
      </c>
      <c r="CG298">
        <v>1.3899999999999999E-2</v>
      </c>
      <c r="CH298">
        <v>0</v>
      </c>
      <c r="CI298">
        <v>0.21529999999999999</v>
      </c>
      <c r="CJ298">
        <v>0</v>
      </c>
      <c r="CK298">
        <v>0.1031</v>
      </c>
      <c r="CL298">
        <v>0</v>
      </c>
      <c r="CM298">
        <v>0.22470000000000001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0.191</v>
      </c>
      <c r="CZ298">
        <v>0</v>
      </c>
      <c r="DA298">
        <v>0</v>
      </c>
      <c r="DB298">
        <v>2.53E-2</v>
      </c>
      <c r="DC298" s="24">
        <f t="shared" si="123"/>
        <v>0.21529999999999999</v>
      </c>
      <c r="DD298" s="24">
        <f t="shared" si="124"/>
        <v>0.24060000000000001</v>
      </c>
      <c r="DE298" s="24">
        <f t="shared" si="125"/>
        <v>0.32779999999999998</v>
      </c>
    </row>
    <row r="299" spans="1:109">
      <c r="A299" t="s">
        <v>386</v>
      </c>
      <c r="B299" s="76" t="s">
        <v>384</v>
      </c>
      <c r="C299" t="s">
        <v>385</v>
      </c>
      <c r="D299" s="19" t="s">
        <v>387</v>
      </c>
      <c r="G299" s="76">
        <v>21.29</v>
      </c>
      <c r="H299" s="76">
        <v>10.19</v>
      </c>
      <c r="I299" s="76">
        <v>3.82</v>
      </c>
      <c r="J299" s="76">
        <v>14.75</v>
      </c>
      <c r="L299">
        <f t="shared" si="160"/>
        <v>13.275</v>
      </c>
      <c r="M299" s="76">
        <v>1.97</v>
      </c>
      <c r="N299" s="76">
        <v>0.09</v>
      </c>
      <c r="O299" s="76">
        <v>30.76</v>
      </c>
      <c r="X299" s="76">
        <v>15.8</v>
      </c>
      <c r="BG299">
        <f t="shared" si="143"/>
        <v>0</v>
      </c>
      <c r="BH299">
        <f t="shared" si="144"/>
        <v>0</v>
      </c>
      <c r="BI299">
        <f t="shared" si="145"/>
        <v>0</v>
      </c>
      <c r="BJ299">
        <f t="shared" si="146"/>
        <v>0</v>
      </c>
      <c r="BK299">
        <f t="shared" si="147"/>
        <v>0</v>
      </c>
      <c r="BL299">
        <f t="shared" si="148"/>
        <v>0</v>
      </c>
      <c r="BM299">
        <f t="shared" si="149"/>
        <v>0</v>
      </c>
      <c r="BN299">
        <f t="shared" si="150"/>
        <v>0</v>
      </c>
      <c r="BO299">
        <f t="shared" si="151"/>
        <v>0</v>
      </c>
      <c r="BP299">
        <f t="shared" si="152"/>
        <v>0</v>
      </c>
      <c r="BQ299">
        <f t="shared" si="153"/>
        <v>0</v>
      </c>
      <c r="BR299">
        <f t="shared" si="154"/>
        <v>0</v>
      </c>
      <c r="BS299">
        <f t="shared" si="155"/>
        <v>0</v>
      </c>
      <c r="BT299">
        <f t="shared" si="156"/>
        <v>0</v>
      </c>
      <c r="BU299" t="e">
        <f t="shared" si="157"/>
        <v>#DIV/0!</v>
      </c>
      <c r="BV299" t="e">
        <f t="shared" si="158"/>
        <v>#DIV/0!</v>
      </c>
      <c r="BX299" t="e">
        <f t="shared" si="159"/>
        <v>#DIV/0!</v>
      </c>
      <c r="CF299">
        <v>0.2041</v>
      </c>
      <c r="CG299">
        <v>0.1452</v>
      </c>
      <c r="CH299">
        <v>0</v>
      </c>
      <c r="CI299">
        <v>0.18559999999999999</v>
      </c>
      <c r="CJ299">
        <v>0</v>
      </c>
      <c r="CK299">
        <v>6.25E-2</v>
      </c>
      <c r="CL299">
        <v>0</v>
      </c>
      <c r="CM299">
        <v>0.26140000000000002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0.13730000000000001</v>
      </c>
      <c r="CZ299">
        <v>2.3E-3</v>
      </c>
      <c r="DA299">
        <v>0</v>
      </c>
      <c r="DB299">
        <v>1.6000000000000001E-3</v>
      </c>
      <c r="DC299" s="24">
        <f t="shared" si="123"/>
        <v>0.18559999999999999</v>
      </c>
      <c r="DD299" s="24">
        <f t="shared" si="124"/>
        <v>0.3493</v>
      </c>
      <c r="DE299" s="24">
        <f t="shared" si="125"/>
        <v>0.32390000000000002</v>
      </c>
    </row>
    <row r="300" spans="1:109"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 s="24">
        <f t="shared" si="123"/>
        <v>0</v>
      </c>
      <c r="DD300" s="24">
        <f t="shared" si="124"/>
        <v>0</v>
      </c>
      <c r="DE300" s="24">
        <f t="shared" si="125"/>
        <v>0</v>
      </c>
    </row>
    <row r="301" spans="1:109">
      <c r="A301" t="s">
        <v>389</v>
      </c>
      <c r="C301" t="s">
        <v>385</v>
      </c>
      <c r="D301" t="s">
        <v>388</v>
      </c>
      <c r="G301">
        <v>9.6</v>
      </c>
      <c r="H301">
        <v>5</v>
      </c>
      <c r="I301">
        <v>11</v>
      </c>
      <c r="J301">
        <v>13.4</v>
      </c>
      <c r="K301">
        <v>0.8</v>
      </c>
      <c r="L301">
        <f t="shared" si="160"/>
        <v>12.860000000000001</v>
      </c>
      <c r="M301">
        <v>0.5</v>
      </c>
      <c r="O301">
        <v>29.8</v>
      </c>
      <c r="X301">
        <v>29.9</v>
      </c>
      <c r="BG301">
        <f t="shared" si="143"/>
        <v>0</v>
      </c>
      <c r="BH301">
        <f t="shared" si="144"/>
        <v>0</v>
      </c>
      <c r="BI301">
        <f t="shared" si="145"/>
        <v>0</v>
      </c>
      <c r="BJ301">
        <f t="shared" si="146"/>
        <v>0</v>
      </c>
      <c r="BK301">
        <f t="shared" si="147"/>
        <v>0</v>
      </c>
      <c r="BL301">
        <f t="shared" si="148"/>
        <v>0</v>
      </c>
      <c r="BM301">
        <f t="shared" si="149"/>
        <v>0</v>
      </c>
      <c r="BN301">
        <f t="shared" si="150"/>
        <v>0</v>
      </c>
      <c r="BO301">
        <f t="shared" si="151"/>
        <v>0</v>
      </c>
      <c r="BP301">
        <f t="shared" si="152"/>
        <v>0</v>
      </c>
      <c r="BQ301">
        <f t="shared" si="153"/>
        <v>0</v>
      </c>
      <c r="BR301">
        <f t="shared" si="154"/>
        <v>0</v>
      </c>
      <c r="BS301">
        <f t="shared" si="155"/>
        <v>0</v>
      </c>
      <c r="BT301">
        <f t="shared" si="156"/>
        <v>0</v>
      </c>
      <c r="BU301" t="e">
        <f t="shared" si="157"/>
        <v>#DIV/0!</v>
      </c>
      <c r="BV301" t="e">
        <f t="shared" si="158"/>
        <v>#DIV/0!</v>
      </c>
      <c r="BX301" t="e">
        <f t="shared" si="159"/>
        <v>#DIV/0!</v>
      </c>
      <c r="CF301">
        <v>0.6149</v>
      </c>
      <c r="CG301">
        <v>7.6600000000000001E-2</v>
      </c>
      <c r="CH301">
        <v>0</v>
      </c>
      <c r="CI301">
        <v>0.1784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1.3599999999999999E-2</v>
      </c>
      <c r="CZ301">
        <v>0</v>
      </c>
      <c r="DA301">
        <v>0</v>
      </c>
      <c r="DB301">
        <v>0</v>
      </c>
      <c r="DC301" s="24">
        <f t="shared" si="123"/>
        <v>0.1784</v>
      </c>
      <c r="DD301" s="24">
        <f t="shared" si="124"/>
        <v>0.6915</v>
      </c>
      <c r="DE301" s="24">
        <f>CK301+CM301+CN301</f>
        <v>0</v>
      </c>
    </row>
    <row r="302" spans="1:109">
      <c r="BG302">
        <f t="shared" si="143"/>
        <v>0</v>
      </c>
      <c r="BH302">
        <f t="shared" si="144"/>
        <v>0</v>
      </c>
      <c r="BI302">
        <f t="shared" si="145"/>
        <v>0</v>
      </c>
      <c r="BJ302">
        <f t="shared" si="146"/>
        <v>0</v>
      </c>
      <c r="BK302">
        <f t="shared" si="147"/>
        <v>0</v>
      </c>
      <c r="BL302">
        <f t="shared" si="148"/>
        <v>0</v>
      </c>
      <c r="BM302">
        <f t="shared" si="149"/>
        <v>0</v>
      </c>
      <c r="BN302">
        <f t="shared" si="150"/>
        <v>0</v>
      </c>
      <c r="BO302">
        <f t="shared" si="151"/>
        <v>0</v>
      </c>
      <c r="BP302">
        <f t="shared" si="152"/>
        <v>0</v>
      </c>
      <c r="BQ302">
        <f t="shared" si="153"/>
        <v>0</v>
      </c>
      <c r="BR302">
        <f t="shared" si="154"/>
        <v>0</v>
      </c>
      <c r="BS302">
        <f t="shared" si="155"/>
        <v>0</v>
      </c>
      <c r="BT302">
        <f t="shared" si="156"/>
        <v>0</v>
      </c>
      <c r="BU302" t="e">
        <f t="shared" si="157"/>
        <v>#DIV/0!</v>
      </c>
      <c r="BV302" t="e">
        <f t="shared" si="158"/>
        <v>#DIV/0!</v>
      </c>
      <c r="BX302" t="e">
        <f t="shared" si="159"/>
        <v>#DIV/0!</v>
      </c>
      <c r="CX302">
        <v>0</v>
      </c>
      <c r="DC302" s="24">
        <f t="shared" si="123"/>
        <v>0</v>
      </c>
      <c r="DD302" s="24">
        <f t="shared" si="124"/>
        <v>0</v>
      </c>
      <c r="DE302" s="24">
        <f>CK302+CM302+CN302</f>
        <v>0</v>
      </c>
    </row>
    <row r="303" spans="1:109">
      <c r="X303">
        <v>16.190000000000001</v>
      </c>
      <c r="Y303">
        <v>0.16</v>
      </c>
      <c r="CN303">
        <v>0</v>
      </c>
      <c r="DC303" s="24">
        <f t="shared" ref="DC303:DC318" si="161">CI303+CJ303</f>
        <v>0</v>
      </c>
      <c r="DD303" s="24">
        <f t="shared" ref="DD303:DD318" si="162">CF303+CG303</f>
        <v>0</v>
      </c>
      <c r="DE303" s="24">
        <f t="shared" ref="DE303:DE318" si="163">CK303+CM303+CN303</f>
        <v>0</v>
      </c>
    </row>
    <row r="304" spans="1:109">
      <c r="A304" t="s">
        <v>402</v>
      </c>
      <c r="B304" t="s">
        <v>403</v>
      </c>
      <c r="C304" t="s">
        <v>305</v>
      </c>
      <c r="D304" t="s">
        <v>401</v>
      </c>
      <c r="G304">
        <v>18.05</v>
      </c>
      <c r="H304">
        <v>9.34</v>
      </c>
      <c r="I304">
        <v>4.3499999999999996</v>
      </c>
      <c r="J304">
        <v>19.77</v>
      </c>
      <c r="K304">
        <v>0.04</v>
      </c>
      <c r="L304">
        <f t="shared" si="160"/>
        <v>17.832999999999998</v>
      </c>
      <c r="M304">
        <v>0.11</v>
      </c>
      <c r="N304">
        <v>0.04</v>
      </c>
      <c r="O304">
        <v>30.98</v>
      </c>
      <c r="X304">
        <v>17.97</v>
      </c>
      <c r="Y304">
        <v>0.19</v>
      </c>
      <c r="BG304">
        <f t="shared" si="143"/>
        <v>0</v>
      </c>
      <c r="BH304">
        <f t="shared" si="144"/>
        <v>0</v>
      </c>
      <c r="BI304">
        <f t="shared" si="145"/>
        <v>0</v>
      </c>
      <c r="BJ304">
        <f t="shared" si="146"/>
        <v>0</v>
      </c>
      <c r="BK304">
        <f t="shared" si="147"/>
        <v>0</v>
      </c>
      <c r="BL304">
        <f t="shared" si="148"/>
        <v>0</v>
      </c>
      <c r="BM304">
        <f t="shared" si="149"/>
        <v>0</v>
      </c>
      <c r="BN304">
        <f t="shared" si="150"/>
        <v>0</v>
      </c>
      <c r="BO304">
        <f t="shared" si="151"/>
        <v>0</v>
      </c>
      <c r="BP304">
        <f t="shared" si="152"/>
        <v>0</v>
      </c>
      <c r="BQ304">
        <f t="shared" si="153"/>
        <v>0</v>
      </c>
      <c r="BR304">
        <f t="shared" si="154"/>
        <v>0</v>
      </c>
      <c r="BS304">
        <f t="shared" si="155"/>
        <v>0</v>
      </c>
      <c r="BT304">
        <f t="shared" si="156"/>
        <v>0</v>
      </c>
      <c r="BU304" t="e">
        <f t="shared" si="157"/>
        <v>#DIV/0!</v>
      </c>
      <c r="BV304" t="e">
        <f t="shared" si="158"/>
        <v>#DIV/0!</v>
      </c>
      <c r="BX304" t="e">
        <f t="shared" si="159"/>
        <v>#DIV/0!</v>
      </c>
      <c r="CF304">
        <v>0.23730000000000001</v>
      </c>
      <c r="CG304">
        <v>0.12809999999999999</v>
      </c>
      <c r="CH304" t="s">
        <v>173</v>
      </c>
      <c r="CI304">
        <v>0.2989</v>
      </c>
      <c r="CJ304">
        <v>0</v>
      </c>
      <c r="CK304">
        <v>0</v>
      </c>
      <c r="CL304">
        <v>0</v>
      </c>
      <c r="CM304">
        <v>1.52E-2</v>
      </c>
      <c r="CN304">
        <v>0</v>
      </c>
      <c r="CO304" t="s">
        <v>173</v>
      </c>
      <c r="CP304" t="s">
        <v>173</v>
      </c>
      <c r="CQ304" t="s">
        <v>173</v>
      </c>
      <c r="CR304" t="s">
        <v>173</v>
      </c>
      <c r="CS304" t="s">
        <v>173</v>
      </c>
      <c r="CT304" t="s">
        <v>173</v>
      </c>
      <c r="CU304" t="s">
        <v>173</v>
      </c>
      <c r="CV304" t="s">
        <v>173</v>
      </c>
      <c r="CW304" t="s">
        <v>173</v>
      </c>
      <c r="CX304" t="s">
        <v>173</v>
      </c>
      <c r="CY304">
        <v>0.26340000000000002</v>
      </c>
      <c r="CZ304" t="s">
        <v>173</v>
      </c>
      <c r="DA304" t="s">
        <v>173</v>
      </c>
      <c r="DB304" t="s">
        <v>173</v>
      </c>
      <c r="DC304" s="24">
        <f t="shared" si="161"/>
        <v>0.2989</v>
      </c>
      <c r="DD304" s="24">
        <f t="shared" si="162"/>
        <v>0.3654</v>
      </c>
      <c r="DE304" s="24">
        <f t="shared" si="163"/>
        <v>1.52E-2</v>
      </c>
    </row>
    <row r="305" spans="1:109">
      <c r="A305" t="s">
        <v>402</v>
      </c>
      <c r="B305" t="s">
        <v>403</v>
      </c>
      <c r="C305" t="s">
        <v>305</v>
      </c>
      <c r="D305" t="s">
        <v>401</v>
      </c>
      <c r="G305">
        <v>17.89</v>
      </c>
      <c r="H305">
        <v>8.5500000000000007</v>
      </c>
      <c r="I305">
        <v>4.26</v>
      </c>
      <c r="J305">
        <v>18.7</v>
      </c>
      <c r="K305">
        <v>0.72</v>
      </c>
      <c r="L305">
        <f t="shared" si="160"/>
        <v>17.549999999999997</v>
      </c>
      <c r="M305">
        <v>0.24</v>
      </c>
      <c r="N305">
        <v>0</v>
      </c>
      <c r="O305">
        <v>30.46</v>
      </c>
      <c r="X305">
        <v>21.11</v>
      </c>
      <c r="Y305">
        <v>0.18</v>
      </c>
      <c r="BG305">
        <f t="shared" si="143"/>
        <v>0</v>
      </c>
      <c r="BH305">
        <f t="shared" si="144"/>
        <v>0</v>
      </c>
      <c r="BI305">
        <f t="shared" si="145"/>
        <v>0</v>
      </c>
      <c r="BJ305">
        <f t="shared" si="146"/>
        <v>0</v>
      </c>
      <c r="BK305">
        <f t="shared" si="147"/>
        <v>0</v>
      </c>
      <c r="BL305">
        <f t="shared" si="148"/>
        <v>0</v>
      </c>
      <c r="BM305">
        <f t="shared" si="149"/>
        <v>0</v>
      </c>
      <c r="BN305">
        <f t="shared" si="150"/>
        <v>0</v>
      </c>
      <c r="BO305">
        <f t="shared" si="151"/>
        <v>0</v>
      </c>
      <c r="BP305">
        <f t="shared" si="152"/>
        <v>0</v>
      </c>
      <c r="BQ305">
        <f t="shared" si="153"/>
        <v>0</v>
      </c>
      <c r="BR305">
        <f t="shared" si="154"/>
        <v>0</v>
      </c>
      <c r="BS305">
        <f t="shared" si="155"/>
        <v>0</v>
      </c>
      <c r="BT305">
        <f t="shared" si="156"/>
        <v>0</v>
      </c>
      <c r="BU305" t="e">
        <f t="shared" si="157"/>
        <v>#DIV/0!</v>
      </c>
      <c r="BV305" t="e">
        <f t="shared" si="158"/>
        <v>#DIV/0!</v>
      </c>
      <c r="BX305" t="e">
        <f t="shared" si="159"/>
        <v>#DIV/0!</v>
      </c>
      <c r="CF305">
        <v>0.2341</v>
      </c>
      <c r="CG305">
        <v>0.17449999999999999</v>
      </c>
      <c r="CH305" t="s">
        <v>173</v>
      </c>
      <c r="CI305">
        <v>0.2571</v>
      </c>
      <c r="CJ305">
        <v>0</v>
      </c>
      <c r="CK305">
        <v>8.3999999999999995E-3</v>
      </c>
      <c r="CL305">
        <v>0</v>
      </c>
      <c r="CM305">
        <v>3.3399999999999999E-2</v>
      </c>
      <c r="CN305">
        <v>0</v>
      </c>
      <c r="CO305" t="s">
        <v>173</v>
      </c>
      <c r="CP305" t="s">
        <v>173</v>
      </c>
      <c r="CQ305" t="s">
        <v>173</v>
      </c>
      <c r="CR305" t="s">
        <v>173</v>
      </c>
      <c r="CS305" t="s">
        <v>173</v>
      </c>
      <c r="CT305" t="s">
        <v>173</v>
      </c>
      <c r="CU305" t="s">
        <v>173</v>
      </c>
      <c r="CV305" t="s">
        <v>173</v>
      </c>
      <c r="CW305" t="s">
        <v>173</v>
      </c>
      <c r="CX305" t="s">
        <v>173</v>
      </c>
      <c r="CY305">
        <v>0.24859999999999999</v>
      </c>
      <c r="CZ305" t="s">
        <v>173</v>
      </c>
      <c r="DA305" t="s">
        <v>173</v>
      </c>
      <c r="DB305" t="s">
        <v>173</v>
      </c>
      <c r="DC305" s="24">
        <f t="shared" si="161"/>
        <v>0.2571</v>
      </c>
      <c r="DD305" s="24">
        <f t="shared" si="162"/>
        <v>0.40859999999999996</v>
      </c>
      <c r="DE305" s="24">
        <f t="shared" si="163"/>
        <v>4.1799999999999997E-2</v>
      </c>
    </row>
    <row r="306" spans="1:109">
      <c r="A306" t="s">
        <v>402</v>
      </c>
      <c r="B306" t="s">
        <v>403</v>
      </c>
      <c r="C306" t="s">
        <v>305</v>
      </c>
      <c r="D306" t="s">
        <v>401</v>
      </c>
      <c r="G306">
        <v>15.13</v>
      </c>
      <c r="H306">
        <v>8.8699999999999992</v>
      </c>
      <c r="I306">
        <v>5.29</v>
      </c>
      <c r="J306">
        <v>17.829999999999998</v>
      </c>
      <c r="K306">
        <v>0.49</v>
      </c>
      <c r="L306">
        <f t="shared" si="160"/>
        <v>16.536999999999999</v>
      </c>
      <c r="M306">
        <v>0</v>
      </c>
      <c r="N306">
        <v>0</v>
      </c>
      <c r="O306">
        <v>30.03</v>
      </c>
      <c r="X306">
        <v>24.69</v>
      </c>
      <c r="Y306">
        <v>0.16</v>
      </c>
      <c r="BG306">
        <f t="shared" si="143"/>
        <v>0</v>
      </c>
      <c r="BH306">
        <f t="shared" si="144"/>
        <v>0</v>
      </c>
      <c r="BI306">
        <f t="shared" si="145"/>
        <v>0</v>
      </c>
      <c r="BJ306">
        <f t="shared" si="146"/>
        <v>0</v>
      </c>
      <c r="BK306">
        <f t="shared" si="147"/>
        <v>0</v>
      </c>
      <c r="BL306">
        <f t="shared" si="148"/>
        <v>0</v>
      </c>
      <c r="BM306">
        <f t="shared" si="149"/>
        <v>0</v>
      </c>
      <c r="BN306">
        <f t="shared" si="150"/>
        <v>0</v>
      </c>
      <c r="BO306">
        <f t="shared" si="151"/>
        <v>0</v>
      </c>
      <c r="BP306">
        <f t="shared" si="152"/>
        <v>0</v>
      </c>
      <c r="BQ306">
        <f t="shared" si="153"/>
        <v>0</v>
      </c>
      <c r="BR306">
        <f t="shared" si="154"/>
        <v>0</v>
      </c>
      <c r="BS306">
        <f t="shared" si="155"/>
        <v>0</v>
      </c>
      <c r="BT306">
        <f t="shared" si="156"/>
        <v>0</v>
      </c>
      <c r="BU306" t="e">
        <f t="shared" si="157"/>
        <v>#DIV/0!</v>
      </c>
      <c r="BV306" t="e">
        <f t="shared" si="158"/>
        <v>#DIV/0!</v>
      </c>
      <c r="BX306" t="e">
        <f t="shared" si="159"/>
        <v>#DIV/0!</v>
      </c>
      <c r="CF306">
        <v>0.29570000000000002</v>
      </c>
      <c r="CG306">
        <v>0.1925</v>
      </c>
      <c r="CH306" t="s">
        <v>173</v>
      </c>
      <c r="CI306">
        <v>0.29420000000000002</v>
      </c>
      <c r="CJ306">
        <v>0</v>
      </c>
      <c r="CK306">
        <v>0</v>
      </c>
      <c r="CL306">
        <v>0</v>
      </c>
      <c r="CM306">
        <v>0</v>
      </c>
      <c r="CN306">
        <v>0</v>
      </c>
      <c r="CO306" t="s">
        <v>173</v>
      </c>
      <c r="CP306" t="s">
        <v>173</v>
      </c>
      <c r="CQ306" t="s">
        <v>173</v>
      </c>
      <c r="CR306" t="s">
        <v>173</v>
      </c>
      <c r="CS306" t="s">
        <v>173</v>
      </c>
      <c r="CT306" t="s">
        <v>173</v>
      </c>
      <c r="CU306" t="s">
        <v>173</v>
      </c>
      <c r="CV306" t="s">
        <v>173</v>
      </c>
      <c r="CW306" t="s">
        <v>173</v>
      </c>
      <c r="CX306" t="s">
        <v>173</v>
      </c>
      <c r="CY306">
        <v>0.16919999999999999</v>
      </c>
      <c r="CZ306" t="s">
        <v>173</v>
      </c>
      <c r="DA306" t="s">
        <v>173</v>
      </c>
      <c r="DB306" t="s">
        <v>173</v>
      </c>
      <c r="DC306" s="24">
        <f t="shared" si="161"/>
        <v>0.29420000000000002</v>
      </c>
      <c r="DD306" s="24">
        <f t="shared" si="162"/>
        <v>0.48820000000000002</v>
      </c>
      <c r="DE306" s="24">
        <f t="shared" si="163"/>
        <v>0</v>
      </c>
    </row>
    <row r="307" spans="1:109">
      <c r="A307" t="s">
        <v>402</v>
      </c>
      <c r="B307" t="s">
        <v>403</v>
      </c>
      <c r="C307" t="s">
        <v>305</v>
      </c>
      <c r="D307" t="s">
        <v>401</v>
      </c>
      <c r="G307">
        <v>13.36</v>
      </c>
      <c r="H307">
        <v>6.58</v>
      </c>
      <c r="I307">
        <v>4.99</v>
      </c>
      <c r="J307">
        <v>18.27</v>
      </c>
      <c r="K307">
        <v>0</v>
      </c>
      <c r="L307">
        <f t="shared" si="160"/>
        <v>16.443000000000001</v>
      </c>
      <c r="M307">
        <v>0</v>
      </c>
      <c r="N307">
        <v>0.04</v>
      </c>
      <c r="O307">
        <v>28.97</v>
      </c>
      <c r="X307">
        <v>26.9</v>
      </c>
      <c r="Y307">
        <v>0.15</v>
      </c>
      <c r="BG307">
        <f t="shared" si="143"/>
        <v>0</v>
      </c>
      <c r="BH307">
        <f t="shared" si="144"/>
        <v>0</v>
      </c>
      <c r="BI307">
        <f t="shared" si="145"/>
        <v>0</v>
      </c>
      <c r="BJ307">
        <f t="shared" si="146"/>
        <v>0</v>
      </c>
      <c r="BK307">
        <f t="shared" si="147"/>
        <v>0</v>
      </c>
      <c r="BL307">
        <f t="shared" si="148"/>
        <v>0</v>
      </c>
      <c r="BM307">
        <f t="shared" si="149"/>
        <v>0</v>
      </c>
      <c r="BN307">
        <f t="shared" si="150"/>
        <v>0</v>
      </c>
      <c r="BO307">
        <f t="shared" si="151"/>
        <v>0</v>
      </c>
      <c r="BP307">
        <f t="shared" si="152"/>
        <v>0</v>
      </c>
      <c r="BQ307">
        <f t="shared" si="153"/>
        <v>0</v>
      </c>
      <c r="BR307">
        <f t="shared" si="154"/>
        <v>0</v>
      </c>
      <c r="BS307">
        <f t="shared" si="155"/>
        <v>0</v>
      </c>
      <c r="BT307">
        <f t="shared" si="156"/>
        <v>0</v>
      </c>
      <c r="BU307" t="e">
        <f t="shared" si="157"/>
        <v>#DIV/0!</v>
      </c>
      <c r="BV307" t="e">
        <f t="shared" si="158"/>
        <v>#DIV/0!</v>
      </c>
      <c r="BX307" t="e">
        <f t="shared" si="159"/>
        <v>#DIV/0!</v>
      </c>
      <c r="CF307">
        <v>0.29020000000000001</v>
      </c>
      <c r="CG307">
        <v>0.3039</v>
      </c>
      <c r="CH307" t="s">
        <v>173</v>
      </c>
      <c r="CI307">
        <v>0.24429999999999999</v>
      </c>
      <c r="CJ307">
        <v>0</v>
      </c>
      <c r="CK307">
        <v>0</v>
      </c>
      <c r="CL307">
        <v>0</v>
      </c>
      <c r="CM307">
        <v>0</v>
      </c>
      <c r="CN307">
        <v>0</v>
      </c>
      <c r="CO307" t="s">
        <v>173</v>
      </c>
      <c r="CP307" t="s">
        <v>173</v>
      </c>
      <c r="CQ307" t="s">
        <v>173</v>
      </c>
      <c r="CR307" t="s">
        <v>173</v>
      </c>
      <c r="CS307" t="s">
        <v>173</v>
      </c>
      <c r="CT307" t="s">
        <v>173</v>
      </c>
      <c r="CU307" t="s">
        <v>173</v>
      </c>
      <c r="CV307" t="s">
        <v>173</v>
      </c>
      <c r="CW307" t="s">
        <v>173</v>
      </c>
      <c r="CX307" t="s">
        <v>173</v>
      </c>
      <c r="CY307">
        <v>0.12809999999999999</v>
      </c>
      <c r="CZ307" t="s">
        <v>173</v>
      </c>
      <c r="DA307" t="s">
        <v>173</v>
      </c>
      <c r="DB307" t="s">
        <v>173</v>
      </c>
      <c r="DC307" s="24">
        <f t="shared" si="161"/>
        <v>0.24429999999999999</v>
      </c>
      <c r="DD307" s="24">
        <f t="shared" si="162"/>
        <v>0.59410000000000007</v>
      </c>
      <c r="DE307" s="24">
        <f t="shared" si="163"/>
        <v>0</v>
      </c>
    </row>
    <row r="308" spans="1:109">
      <c r="A308" t="s">
        <v>402</v>
      </c>
      <c r="B308" t="s">
        <v>403</v>
      </c>
      <c r="C308" t="s">
        <v>305</v>
      </c>
      <c r="D308" t="s">
        <v>401</v>
      </c>
      <c r="G308">
        <v>13.16</v>
      </c>
      <c r="H308">
        <v>5.65</v>
      </c>
      <c r="I308">
        <v>4.6900000000000004</v>
      </c>
      <c r="J308">
        <v>18.5</v>
      </c>
      <c r="K308">
        <v>7.0000000000000007E-2</v>
      </c>
      <c r="L308">
        <f t="shared" si="160"/>
        <v>16.720000000000002</v>
      </c>
      <c r="M308">
        <v>0</v>
      </c>
      <c r="N308">
        <v>0.03</v>
      </c>
      <c r="O308">
        <v>28.61</v>
      </c>
      <c r="X308">
        <v>27.02</v>
      </c>
      <c r="Y308">
        <v>0.13</v>
      </c>
      <c r="BG308">
        <f t="shared" si="143"/>
        <v>0</v>
      </c>
      <c r="BH308">
        <f t="shared" si="144"/>
        <v>0</v>
      </c>
      <c r="BI308">
        <f t="shared" si="145"/>
        <v>0</v>
      </c>
      <c r="BJ308">
        <f t="shared" si="146"/>
        <v>0</v>
      </c>
      <c r="BK308">
        <f t="shared" si="147"/>
        <v>0</v>
      </c>
      <c r="BL308">
        <f t="shared" si="148"/>
        <v>0</v>
      </c>
      <c r="BM308">
        <f t="shared" si="149"/>
        <v>0</v>
      </c>
      <c r="BN308">
        <f t="shared" si="150"/>
        <v>0</v>
      </c>
      <c r="BO308">
        <f t="shared" si="151"/>
        <v>0</v>
      </c>
      <c r="BP308">
        <f t="shared" si="152"/>
        <v>0</v>
      </c>
      <c r="BQ308">
        <f t="shared" si="153"/>
        <v>0</v>
      </c>
      <c r="BR308">
        <f t="shared" si="154"/>
        <v>0</v>
      </c>
      <c r="BS308">
        <f t="shared" si="155"/>
        <v>0</v>
      </c>
      <c r="BT308">
        <f t="shared" si="156"/>
        <v>0</v>
      </c>
      <c r="BU308" t="e">
        <f t="shared" si="157"/>
        <v>#DIV/0!</v>
      </c>
      <c r="BV308" t="e">
        <f t="shared" si="158"/>
        <v>#DIV/0!</v>
      </c>
      <c r="BX308" t="e">
        <f t="shared" si="159"/>
        <v>#DIV/0!</v>
      </c>
      <c r="CF308">
        <v>0.27389999999999998</v>
      </c>
      <c r="CG308">
        <v>0.37609999999999999</v>
      </c>
      <c r="CH308" t="s">
        <v>173</v>
      </c>
      <c r="CI308">
        <v>0.1978</v>
      </c>
      <c r="CJ308">
        <v>0</v>
      </c>
      <c r="CK308">
        <v>0</v>
      </c>
      <c r="CL308">
        <v>0</v>
      </c>
      <c r="CM308">
        <v>0</v>
      </c>
      <c r="CN308">
        <v>0</v>
      </c>
      <c r="CO308" t="s">
        <v>173</v>
      </c>
      <c r="CP308" t="s">
        <v>173</v>
      </c>
      <c r="CQ308" t="s">
        <v>173</v>
      </c>
      <c r="CR308" t="s">
        <v>173</v>
      </c>
      <c r="CS308" t="s">
        <v>173</v>
      </c>
      <c r="CT308" t="s">
        <v>173</v>
      </c>
      <c r="CU308" t="s">
        <v>173</v>
      </c>
      <c r="CV308" t="s">
        <v>173</v>
      </c>
      <c r="CW308" t="s">
        <v>173</v>
      </c>
      <c r="CX308" t="s">
        <v>173</v>
      </c>
      <c r="CY308">
        <v>0.11899999999999999</v>
      </c>
      <c r="CZ308" t="s">
        <v>173</v>
      </c>
      <c r="DA308" t="s">
        <v>173</v>
      </c>
      <c r="DB308" t="s">
        <v>173</v>
      </c>
      <c r="DC308" s="24">
        <f t="shared" si="161"/>
        <v>0.1978</v>
      </c>
      <c r="DD308" s="24">
        <f t="shared" si="162"/>
        <v>0.64999999999999991</v>
      </c>
      <c r="DE308" s="24">
        <f t="shared" si="163"/>
        <v>0</v>
      </c>
    </row>
    <row r="309" spans="1:109">
      <c r="A309" t="s">
        <v>402</v>
      </c>
      <c r="B309" t="s">
        <v>403</v>
      </c>
      <c r="C309" t="s">
        <v>305</v>
      </c>
      <c r="D309" t="s">
        <v>401</v>
      </c>
      <c r="G309">
        <v>12.72</v>
      </c>
      <c r="H309">
        <v>6.22</v>
      </c>
      <c r="I309">
        <v>5.28</v>
      </c>
      <c r="J309">
        <v>17.79</v>
      </c>
      <c r="K309">
        <v>0</v>
      </c>
      <c r="L309">
        <f t="shared" si="160"/>
        <v>16.010999999999999</v>
      </c>
      <c r="M309">
        <v>0</v>
      </c>
      <c r="N309">
        <v>0</v>
      </c>
      <c r="O309">
        <v>28.77</v>
      </c>
      <c r="X309">
        <v>27.9</v>
      </c>
      <c r="Y309">
        <v>0.13</v>
      </c>
      <c r="BG309">
        <f t="shared" si="143"/>
        <v>0</v>
      </c>
      <c r="BH309">
        <f t="shared" si="144"/>
        <v>0</v>
      </c>
      <c r="BI309">
        <f t="shared" si="145"/>
        <v>0</v>
      </c>
      <c r="BJ309">
        <f t="shared" si="146"/>
        <v>0</v>
      </c>
      <c r="BK309">
        <f t="shared" si="147"/>
        <v>0</v>
      </c>
      <c r="BL309">
        <f t="shared" si="148"/>
        <v>0</v>
      </c>
      <c r="BM309">
        <f t="shared" si="149"/>
        <v>0</v>
      </c>
      <c r="BN309">
        <f t="shared" si="150"/>
        <v>0</v>
      </c>
      <c r="BO309">
        <f t="shared" si="151"/>
        <v>0</v>
      </c>
      <c r="BP309">
        <f t="shared" si="152"/>
        <v>0</v>
      </c>
      <c r="BQ309">
        <f t="shared" si="153"/>
        <v>0</v>
      </c>
      <c r="BR309">
        <f t="shared" si="154"/>
        <v>0</v>
      </c>
      <c r="BS309">
        <f t="shared" si="155"/>
        <v>0</v>
      </c>
      <c r="BT309">
        <f t="shared" si="156"/>
        <v>0</v>
      </c>
      <c r="BU309" t="e">
        <f t="shared" si="157"/>
        <v>#DIV/0!</v>
      </c>
      <c r="BV309" t="e">
        <f t="shared" si="158"/>
        <v>#DIV/0!</v>
      </c>
      <c r="BX309" t="e">
        <f t="shared" si="159"/>
        <v>#DIV/0!</v>
      </c>
      <c r="CF309">
        <v>0.30730000000000002</v>
      </c>
      <c r="CG309">
        <v>0.34329999999999999</v>
      </c>
      <c r="CH309" t="s">
        <v>173</v>
      </c>
      <c r="CI309">
        <v>0.22140000000000001</v>
      </c>
      <c r="CJ309">
        <v>0</v>
      </c>
      <c r="CK309">
        <v>0</v>
      </c>
      <c r="CL309">
        <v>0</v>
      </c>
      <c r="CM309">
        <v>0</v>
      </c>
      <c r="CN309">
        <v>0</v>
      </c>
      <c r="CO309" t="s">
        <v>173</v>
      </c>
      <c r="CP309" t="s">
        <v>173</v>
      </c>
      <c r="CQ309" t="s">
        <v>173</v>
      </c>
      <c r="CR309" t="s">
        <v>173</v>
      </c>
      <c r="CS309" t="s">
        <v>173</v>
      </c>
      <c r="CT309" t="s">
        <v>173</v>
      </c>
      <c r="CU309" t="s">
        <v>173</v>
      </c>
      <c r="CV309" t="s">
        <v>173</v>
      </c>
      <c r="CW309" t="s">
        <v>173</v>
      </c>
      <c r="CX309" t="s">
        <v>173</v>
      </c>
      <c r="CY309">
        <v>9.64E-2</v>
      </c>
      <c r="CZ309" t="s">
        <v>173</v>
      </c>
      <c r="DA309" t="s">
        <v>173</v>
      </c>
      <c r="DB309" t="s">
        <v>173</v>
      </c>
      <c r="DC309" s="24">
        <f t="shared" si="161"/>
        <v>0.22140000000000001</v>
      </c>
      <c r="DD309" s="24">
        <f t="shared" si="162"/>
        <v>0.65060000000000007</v>
      </c>
      <c r="DE309" s="24">
        <f t="shared" si="163"/>
        <v>0</v>
      </c>
    </row>
    <row r="310" spans="1:109">
      <c r="A310" t="s">
        <v>402</v>
      </c>
      <c r="B310" t="s">
        <v>403</v>
      </c>
      <c r="C310" t="s">
        <v>305</v>
      </c>
      <c r="D310" t="s">
        <v>401</v>
      </c>
      <c r="G310">
        <v>12.21</v>
      </c>
      <c r="H310">
        <v>6.07</v>
      </c>
      <c r="I310">
        <v>5.27</v>
      </c>
      <c r="J310">
        <v>18.309999999999999</v>
      </c>
      <c r="K310">
        <v>0.13</v>
      </c>
      <c r="L310">
        <f t="shared" si="160"/>
        <v>16.608999999999998</v>
      </c>
      <c r="M310">
        <v>0</v>
      </c>
      <c r="N310">
        <v>0</v>
      </c>
      <c r="O310">
        <v>28.71</v>
      </c>
      <c r="X310">
        <v>28.83</v>
      </c>
      <c r="Y310">
        <v>0.08</v>
      </c>
      <c r="BG310">
        <f t="shared" si="143"/>
        <v>0</v>
      </c>
      <c r="BH310">
        <f t="shared" si="144"/>
        <v>0</v>
      </c>
      <c r="BI310">
        <f t="shared" si="145"/>
        <v>0</v>
      </c>
      <c r="BJ310">
        <f t="shared" si="146"/>
        <v>0</v>
      </c>
      <c r="BK310">
        <f t="shared" si="147"/>
        <v>0</v>
      </c>
      <c r="BL310">
        <f t="shared" si="148"/>
        <v>0</v>
      </c>
      <c r="BM310">
        <f t="shared" si="149"/>
        <v>0</v>
      </c>
      <c r="BN310">
        <f t="shared" si="150"/>
        <v>0</v>
      </c>
      <c r="BO310">
        <f t="shared" si="151"/>
        <v>0</v>
      </c>
      <c r="BP310">
        <f t="shared" si="152"/>
        <v>0</v>
      </c>
      <c r="BQ310">
        <f t="shared" si="153"/>
        <v>0</v>
      </c>
      <c r="BR310">
        <f t="shared" si="154"/>
        <v>0</v>
      </c>
      <c r="BS310">
        <f t="shared" si="155"/>
        <v>0</v>
      </c>
      <c r="BT310">
        <f t="shared" si="156"/>
        <v>0</v>
      </c>
      <c r="BU310" t="e">
        <f t="shared" si="157"/>
        <v>#DIV/0!</v>
      </c>
      <c r="BV310" t="e">
        <f t="shared" si="158"/>
        <v>#DIV/0!</v>
      </c>
      <c r="BX310" t="e">
        <f t="shared" si="159"/>
        <v>#DIV/0!</v>
      </c>
      <c r="CF310">
        <v>0.30580000000000002</v>
      </c>
      <c r="CG310">
        <v>0.36399999999999999</v>
      </c>
      <c r="CH310" t="s">
        <v>173</v>
      </c>
      <c r="CI310">
        <v>0.2248</v>
      </c>
      <c r="CJ310">
        <v>0</v>
      </c>
      <c r="CK310">
        <v>0</v>
      </c>
      <c r="CL310">
        <v>0</v>
      </c>
      <c r="CM310">
        <v>0</v>
      </c>
      <c r="CN310">
        <v>0</v>
      </c>
      <c r="CO310" t="s">
        <v>173</v>
      </c>
      <c r="CP310" t="s">
        <v>173</v>
      </c>
      <c r="CQ310" t="s">
        <v>173</v>
      </c>
      <c r="CR310" t="s">
        <v>173</v>
      </c>
      <c r="CS310" t="s">
        <v>173</v>
      </c>
      <c r="CT310" t="s">
        <v>173</v>
      </c>
      <c r="CU310" t="s">
        <v>173</v>
      </c>
      <c r="CV310" t="s">
        <v>173</v>
      </c>
      <c r="CW310" t="s">
        <v>173</v>
      </c>
      <c r="CX310" t="s">
        <v>173</v>
      </c>
      <c r="CY310">
        <v>9.0800000000000006E-2</v>
      </c>
      <c r="CZ310" t="s">
        <v>173</v>
      </c>
      <c r="DA310" t="s">
        <v>173</v>
      </c>
      <c r="DB310" t="s">
        <v>173</v>
      </c>
      <c r="DC310" s="24">
        <f t="shared" si="161"/>
        <v>0.2248</v>
      </c>
      <c r="DD310" s="24">
        <f t="shared" si="162"/>
        <v>0.66979999999999995</v>
      </c>
      <c r="DE310" s="24">
        <f t="shared" si="163"/>
        <v>0</v>
      </c>
    </row>
    <row r="311" spans="1:109">
      <c r="A311" t="s">
        <v>402</v>
      </c>
      <c r="B311" t="s">
        <v>403</v>
      </c>
      <c r="C311" t="s">
        <v>305</v>
      </c>
      <c r="D311" t="s">
        <v>401</v>
      </c>
      <c r="G311">
        <v>12.15</v>
      </c>
      <c r="H311">
        <v>6.36</v>
      </c>
      <c r="I311">
        <v>5.67</v>
      </c>
      <c r="J311">
        <v>17.190000000000001</v>
      </c>
      <c r="K311">
        <v>0.56999999999999995</v>
      </c>
      <c r="L311">
        <f t="shared" si="160"/>
        <v>16.041</v>
      </c>
      <c r="M311">
        <v>0</v>
      </c>
      <c r="N311">
        <v>0</v>
      </c>
      <c r="O311">
        <v>28.93</v>
      </c>
      <c r="X311">
        <v>30.21</v>
      </c>
      <c r="Y311">
        <v>0.16</v>
      </c>
      <c r="BG311">
        <f t="shared" si="143"/>
        <v>0</v>
      </c>
      <c r="BH311">
        <f t="shared" si="144"/>
        <v>0</v>
      </c>
      <c r="BI311">
        <f t="shared" si="145"/>
        <v>0</v>
      </c>
      <c r="BJ311">
        <f t="shared" si="146"/>
        <v>0</v>
      </c>
      <c r="BK311">
        <f t="shared" si="147"/>
        <v>0</v>
      </c>
      <c r="BL311">
        <f t="shared" si="148"/>
        <v>0</v>
      </c>
      <c r="BM311">
        <f t="shared" si="149"/>
        <v>0</v>
      </c>
      <c r="BN311">
        <f t="shared" si="150"/>
        <v>0</v>
      </c>
      <c r="BO311">
        <f t="shared" si="151"/>
        <v>0</v>
      </c>
      <c r="BP311">
        <f t="shared" si="152"/>
        <v>0</v>
      </c>
      <c r="BQ311">
        <f t="shared" si="153"/>
        <v>0</v>
      </c>
      <c r="BR311">
        <f t="shared" si="154"/>
        <v>0</v>
      </c>
      <c r="BS311">
        <f t="shared" si="155"/>
        <v>0</v>
      </c>
      <c r="BT311">
        <f t="shared" si="156"/>
        <v>0</v>
      </c>
      <c r="BU311" t="e">
        <f t="shared" si="157"/>
        <v>#DIV/0!</v>
      </c>
      <c r="BV311" t="e">
        <f t="shared" si="158"/>
        <v>#DIV/0!</v>
      </c>
      <c r="BX311" t="e">
        <f t="shared" si="159"/>
        <v>#DIV/0!</v>
      </c>
      <c r="CF311">
        <v>0.3256</v>
      </c>
      <c r="CG311">
        <v>0.3594</v>
      </c>
      <c r="CH311" t="s">
        <v>173</v>
      </c>
      <c r="CI311">
        <v>0.22289999999999999</v>
      </c>
      <c r="CJ311">
        <v>0</v>
      </c>
      <c r="CK311">
        <v>0</v>
      </c>
      <c r="CL311">
        <v>0</v>
      </c>
      <c r="CM311">
        <v>0</v>
      </c>
      <c r="CN311">
        <v>0</v>
      </c>
      <c r="CO311" t="s">
        <v>173</v>
      </c>
      <c r="CP311" t="s">
        <v>173</v>
      </c>
      <c r="CQ311" t="s">
        <v>173</v>
      </c>
      <c r="CR311" t="s">
        <v>173</v>
      </c>
      <c r="CS311" t="s">
        <v>173</v>
      </c>
      <c r="CT311" t="s">
        <v>173</v>
      </c>
      <c r="CU311" t="s">
        <v>173</v>
      </c>
      <c r="CV311" t="s">
        <v>173</v>
      </c>
      <c r="CW311" t="s">
        <v>173</v>
      </c>
      <c r="CX311" t="s">
        <v>173</v>
      </c>
      <c r="CY311">
        <v>7.1400000000000005E-2</v>
      </c>
      <c r="CZ311" t="s">
        <v>173</v>
      </c>
      <c r="DA311" t="s">
        <v>173</v>
      </c>
      <c r="DB311" t="s">
        <v>173</v>
      </c>
      <c r="DC311" s="24">
        <f t="shared" si="161"/>
        <v>0.22289999999999999</v>
      </c>
      <c r="DD311" s="24">
        <f t="shared" si="162"/>
        <v>0.68500000000000005</v>
      </c>
      <c r="DE311" s="24">
        <f t="shared" si="163"/>
        <v>0</v>
      </c>
    </row>
    <row r="312" spans="1:109">
      <c r="A312" t="s">
        <v>402</v>
      </c>
      <c r="B312" t="s">
        <v>403</v>
      </c>
      <c r="C312" t="s">
        <v>305</v>
      </c>
      <c r="D312" t="s">
        <v>401</v>
      </c>
      <c r="G312">
        <v>11.21</v>
      </c>
      <c r="H312">
        <v>5.31</v>
      </c>
      <c r="I312">
        <v>5.72</v>
      </c>
      <c r="J312">
        <v>16.649999999999999</v>
      </c>
      <c r="K312">
        <v>0.2</v>
      </c>
      <c r="L312">
        <f t="shared" si="160"/>
        <v>15.184999999999999</v>
      </c>
      <c r="M312">
        <v>0</v>
      </c>
      <c r="N312">
        <v>0</v>
      </c>
      <c r="O312">
        <v>28.25</v>
      </c>
      <c r="X312">
        <v>30.67</v>
      </c>
      <c r="Y312">
        <v>0.13</v>
      </c>
      <c r="BG312">
        <f t="shared" si="143"/>
        <v>0</v>
      </c>
      <c r="BH312">
        <f t="shared" si="144"/>
        <v>0</v>
      </c>
      <c r="BI312">
        <f t="shared" si="145"/>
        <v>0</v>
      </c>
      <c r="BJ312">
        <f t="shared" si="146"/>
        <v>0</v>
      </c>
      <c r="BK312">
        <f t="shared" si="147"/>
        <v>0</v>
      </c>
      <c r="BL312">
        <f t="shared" si="148"/>
        <v>0</v>
      </c>
      <c r="BM312">
        <f t="shared" si="149"/>
        <v>0</v>
      </c>
      <c r="BN312">
        <f t="shared" si="150"/>
        <v>0</v>
      </c>
      <c r="BO312">
        <f t="shared" si="151"/>
        <v>0</v>
      </c>
      <c r="BP312">
        <f t="shared" si="152"/>
        <v>0</v>
      </c>
      <c r="BQ312">
        <f t="shared" si="153"/>
        <v>0</v>
      </c>
      <c r="BR312">
        <f t="shared" si="154"/>
        <v>0</v>
      </c>
      <c r="BS312">
        <f t="shared" si="155"/>
        <v>0</v>
      </c>
      <c r="BT312">
        <f t="shared" si="156"/>
        <v>0</v>
      </c>
      <c r="BU312" t="e">
        <f t="shared" si="157"/>
        <v>#DIV/0!</v>
      </c>
      <c r="BV312" t="e">
        <f t="shared" si="158"/>
        <v>#DIV/0!</v>
      </c>
      <c r="BX312" t="e">
        <f t="shared" si="159"/>
        <v>#DIV/0!</v>
      </c>
      <c r="CF312">
        <v>0.33860000000000001</v>
      </c>
      <c r="CG312">
        <v>0.4012</v>
      </c>
      <c r="CH312" t="s">
        <v>173</v>
      </c>
      <c r="CI312">
        <v>0.19719999999999999</v>
      </c>
      <c r="CJ312">
        <v>0</v>
      </c>
      <c r="CK312">
        <v>0</v>
      </c>
      <c r="CL312">
        <v>0</v>
      </c>
      <c r="CM312">
        <v>0</v>
      </c>
      <c r="CN312">
        <v>0</v>
      </c>
      <c r="CO312" t="s">
        <v>173</v>
      </c>
      <c r="CP312" t="s">
        <v>173</v>
      </c>
      <c r="CQ312" t="s">
        <v>173</v>
      </c>
      <c r="CR312" t="s">
        <v>173</v>
      </c>
      <c r="CS312" t="s">
        <v>173</v>
      </c>
      <c r="CT312" t="s">
        <v>173</v>
      </c>
      <c r="CU312" t="s">
        <v>173</v>
      </c>
      <c r="CV312" t="s">
        <v>173</v>
      </c>
      <c r="CW312" t="s">
        <v>173</v>
      </c>
      <c r="CX312" t="s">
        <v>173</v>
      </c>
      <c r="CY312">
        <v>3.9399999999999998E-2</v>
      </c>
      <c r="CZ312" t="s">
        <v>173</v>
      </c>
      <c r="DA312" t="s">
        <v>173</v>
      </c>
      <c r="DB312" t="s">
        <v>173</v>
      </c>
      <c r="DC312" s="24">
        <f t="shared" si="161"/>
        <v>0.19719999999999999</v>
      </c>
      <c r="DD312" s="24">
        <f t="shared" si="162"/>
        <v>0.73980000000000001</v>
      </c>
      <c r="DE312" s="24">
        <f t="shared" si="163"/>
        <v>0</v>
      </c>
    </row>
    <row r="313" spans="1:109">
      <c r="A313" t="s">
        <v>402</v>
      </c>
      <c r="B313" t="s">
        <v>403</v>
      </c>
      <c r="C313" t="s">
        <v>305</v>
      </c>
      <c r="D313" t="s">
        <v>401</v>
      </c>
      <c r="G313">
        <v>10.9</v>
      </c>
      <c r="H313">
        <v>4.96</v>
      </c>
      <c r="I313">
        <v>5.92</v>
      </c>
      <c r="J313">
        <v>16.89</v>
      </c>
      <c r="K313">
        <v>0</v>
      </c>
      <c r="L313">
        <f t="shared" si="160"/>
        <v>15.201000000000001</v>
      </c>
      <c r="M313">
        <v>0</v>
      </c>
      <c r="N313">
        <v>0</v>
      </c>
      <c r="O313">
        <v>28.11</v>
      </c>
      <c r="X313">
        <v>31.06</v>
      </c>
      <c r="Y313">
        <v>0.15</v>
      </c>
      <c r="BG313">
        <f t="shared" si="143"/>
        <v>0</v>
      </c>
      <c r="BH313">
        <f t="shared" si="144"/>
        <v>0</v>
      </c>
      <c r="BI313">
        <f t="shared" si="145"/>
        <v>0</v>
      </c>
      <c r="BJ313">
        <f t="shared" si="146"/>
        <v>0</v>
      </c>
      <c r="BK313">
        <f t="shared" si="147"/>
        <v>0</v>
      </c>
      <c r="BL313">
        <f t="shared" si="148"/>
        <v>0</v>
      </c>
      <c r="BM313">
        <f t="shared" si="149"/>
        <v>0</v>
      </c>
      <c r="BN313">
        <f t="shared" si="150"/>
        <v>0</v>
      </c>
      <c r="BO313">
        <f t="shared" si="151"/>
        <v>0</v>
      </c>
      <c r="BP313">
        <f t="shared" si="152"/>
        <v>0</v>
      </c>
      <c r="BQ313">
        <f t="shared" si="153"/>
        <v>0</v>
      </c>
      <c r="BR313">
        <f t="shared" si="154"/>
        <v>0</v>
      </c>
      <c r="BS313">
        <f t="shared" si="155"/>
        <v>0</v>
      </c>
      <c r="BT313">
        <f t="shared" si="156"/>
        <v>0</v>
      </c>
      <c r="BU313" t="e">
        <f t="shared" si="157"/>
        <v>#DIV/0!</v>
      </c>
      <c r="BV313" t="e">
        <f t="shared" si="158"/>
        <v>#DIV/0!</v>
      </c>
      <c r="BX313" t="e">
        <f t="shared" si="159"/>
        <v>#DIV/0!</v>
      </c>
      <c r="CF313">
        <v>0.35149999999999998</v>
      </c>
      <c r="CG313">
        <v>0.40189999999999998</v>
      </c>
      <c r="CH313" t="s">
        <v>173</v>
      </c>
      <c r="CI313">
        <v>0.188</v>
      </c>
      <c r="CJ313">
        <v>0</v>
      </c>
      <c r="CK313">
        <v>0</v>
      </c>
      <c r="CL313">
        <v>0</v>
      </c>
      <c r="CM313">
        <v>0</v>
      </c>
      <c r="CN313">
        <v>0</v>
      </c>
      <c r="CO313" t="s">
        <v>173</v>
      </c>
      <c r="CP313" t="s">
        <v>173</v>
      </c>
      <c r="CQ313" t="s">
        <v>173</v>
      </c>
      <c r="CR313" t="s">
        <v>173</v>
      </c>
      <c r="CS313" t="s">
        <v>173</v>
      </c>
      <c r="CT313" t="s">
        <v>173</v>
      </c>
      <c r="CU313" t="s">
        <v>173</v>
      </c>
      <c r="CV313" t="s">
        <v>173</v>
      </c>
      <c r="CW313" t="s">
        <v>173</v>
      </c>
      <c r="CX313" t="s">
        <v>173</v>
      </c>
      <c r="CY313">
        <v>4.1200000000000001E-2</v>
      </c>
      <c r="CZ313" t="s">
        <v>173</v>
      </c>
      <c r="DA313" t="s">
        <v>173</v>
      </c>
      <c r="DB313" t="s">
        <v>173</v>
      </c>
      <c r="DC313" s="24">
        <f t="shared" si="161"/>
        <v>0.188</v>
      </c>
      <c r="DD313" s="24">
        <f t="shared" si="162"/>
        <v>0.75339999999999996</v>
      </c>
      <c r="DE313" s="24">
        <f t="shared" si="163"/>
        <v>0</v>
      </c>
    </row>
    <row r="314" spans="1:109" ht="15" thickBot="1">
      <c r="A314" t="s">
        <v>402</v>
      </c>
      <c r="B314" t="s">
        <v>403</v>
      </c>
      <c r="C314" t="s">
        <v>305</v>
      </c>
      <c r="D314" t="s">
        <v>401</v>
      </c>
      <c r="G314">
        <v>10.79</v>
      </c>
      <c r="H314">
        <v>5.47</v>
      </c>
      <c r="I314">
        <v>6</v>
      </c>
      <c r="J314">
        <v>16.53</v>
      </c>
      <c r="K314">
        <v>0.21</v>
      </c>
      <c r="L314">
        <f t="shared" si="160"/>
        <v>15.087000000000002</v>
      </c>
      <c r="M314">
        <v>0</v>
      </c>
      <c r="N314">
        <v>0.04</v>
      </c>
      <c r="O314">
        <v>28.47</v>
      </c>
      <c r="X314">
        <v>31.28</v>
      </c>
      <c r="Y314">
        <v>0.13</v>
      </c>
      <c r="BG314">
        <f t="shared" si="143"/>
        <v>0</v>
      </c>
      <c r="BH314">
        <f t="shared" si="144"/>
        <v>0</v>
      </c>
      <c r="BI314">
        <f t="shared" si="145"/>
        <v>0</v>
      </c>
      <c r="BJ314">
        <f t="shared" si="146"/>
        <v>0</v>
      </c>
      <c r="BK314">
        <f t="shared" si="147"/>
        <v>0</v>
      </c>
      <c r="BL314">
        <f t="shared" si="148"/>
        <v>0</v>
      </c>
      <c r="BM314">
        <f t="shared" si="149"/>
        <v>0</v>
      </c>
      <c r="BN314">
        <f t="shared" si="150"/>
        <v>0</v>
      </c>
      <c r="BO314">
        <f t="shared" si="151"/>
        <v>0</v>
      </c>
      <c r="BP314">
        <f t="shared" si="152"/>
        <v>0</v>
      </c>
      <c r="BQ314">
        <f t="shared" si="153"/>
        <v>0</v>
      </c>
      <c r="BR314">
        <f t="shared" si="154"/>
        <v>0</v>
      </c>
      <c r="BS314">
        <f t="shared" si="155"/>
        <v>0</v>
      </c>
      <c r="BT314">
        <f t="shared" si="156"/>
        <v>0</v>
      </c>
      <c r="BU314" t="e">
        <f t="shared" si="157"/>
        <v>#DIV/0!</v>
      </c>
      <c r="BV314" t="e">
        <f t="shared" si="158"/>
        <v>#DIV/0!</v>
      </c>
      <c r="BX314" t="e">
        <f t="shared" si="159"/>
        <v>#DIV/0!</v>
      </c>
      <c r="CF314">
        <v>0.35239999999999999</v>
      </c>
      <c r="CG314">
        <v>0.40229999999999999</v>
      </c>
      <c r="CH314" t="s">
        <v>173</v>
      </c>
      <c r="CI314">
        <v>0.20499999999999999</v>
      </c>
      <c r="CJ314">
        <v>0</v>
      </c>
      <c r="CK314">
        <v>0</v>
      </c>
      <c r="CL314">
        <v>0</v>
      </c>
      <c r="CM314">
        <v>0</v>
      </c>
      <c r="CN314">
        <v>0</v>
      </c>
      <c r="CO314" t="s">
        <v>173</v>
      </c>
      <c r="CP314" t="s">
        <v>173</v>
      </c>
      <c r="CQ314" t="s">
        <v>173</v>
      </c>
      <c r="CR314" t="s">
        <v>173</v>
      </c>
      <c r="CS314" t="s">
        <v>173</v>
      </c>
      <c r="CT314" t="s">
        <v>173</v>
      </c>
      <c r="CU314" t="s">
        <v>173</v>
      </c>
      <c r="CV314" t="s">
        <v>173</v>
      </c>
      <c r="CW314" t="s">
        <v>173</v>
      </c>
      <c r="CX314" t="s">
        <v>173</v>
      </c>
      <c r="CY314">
        <v>1.8700000000000001E-2</v>
      </c>
      <c r="CZ314" t="s">
        <v>173</v>
      </c>
      <c r="DA314" t="s">
        <v>173</v>
      </c>
      <c r="DB314" t="s">
        <v>173</v>
      </c>
      <c r="DC314" s="24">
        <f t="shared" si="161"/>
        <v>0.20499999999999999</v>
      </c>
      <c r="DD314" s="24">
        <f t="shared" si="162"/>
        <v>0.75469999999999993</v>
      </c>
      <c r="DE314" s="24">
        <f t="shared" si="163"/>
        <v>0</v>
      </c>
    </row>
    <row r="315" spans="1:109" ht="15" thickBot="1">
      <c r="A315" t="s">
        <v>402</v>
      </c>
      <c r="B315" t="s">
        <v>403</v>
      </c>
      <c r="C315" t="s">
        <v>305</v>
      </c>
      <c r="D315" t="s">
        <v>401</v>
      </c>
      <c r="G315">
        <v>10.57</v>
      </c>
      <c r="H315">
        <v>5.63</v>
      </c>
      <c r="I315">
        <v>6.36</v>
      </c>
      <c r="J315">
        <v>16.11</v>
      </c>
      <c r="K315">
        <v>0.28999999999999998</v>
      </c>
      <c r="L315">
        <f t="shared" si="160"/>
        <v>14.789</v>
      </c>
      <c r="M315">
        <v>0</v>
      </c>
      <c r="N315">
        <v>0</v>
      </c>
      <c r="O315">
        <v>28.59</v>
      </c>
      <c r="X315">
        <v>32.01</v>
      </c>
      <c r="Y315">
        <v>0.17</v>
      </c>
      <c r="AE315" s="19"/>
      <c r="BB315" s="75"/>
      <c r="BG315" s="76"/>
      <c r="BJ315" t="e">
        <f>#REF!/BJ$2</f>
        <v>#REF!</v>
      </c>
      <c r="BK315" t="e">
        <f>#REF!/BK$2</f>
        <v>#REF!</v>
      </c>
      <c r="BL315" t="e">
        <f>#REF!/BL$2</f>
        <v>#REF!</v>
      </c>
      <c r="BM315" t="e">
        <f>#REF!/BM$2</f>
        <v>#REF!</v>
      </c>
      <c r="BN315" t="e">
        <f>#REF!/BN$2</f>
        <v>#REF!</v>
      </c>
      <c r="BO315" t="e">
        <f>#REF!/BO$2</f>
        <v>#REF!</v>
      </c>
      <c r="BP315" t="e">
        <f>#REF!/BP$2</f>
        <v>#REF!</v>
      </c>
      <c r="BQ315" t="e">
        <f>#REF!/BQ$2</f>
        <v>#REF!</v>
      </c>
      <c r="BR315" t="e">
        <f>#REF!/BR$2</f>
        <v>#REF!</v>
      </c>
      <c r="BS315" t="e">
        <f>#REF!/BS$2</f>
        <v>#REF!</v>
      </c>
      <c r="BT315" t="e">
        <f>#REF!/BT$2</f>
        <v>#REF!</v>
      </c>
      <c r="BU315" t="e">
        <f t="shared" si="157"/>
        <v>#REF!</v>
      </c>
      <c r="BV315" t="e">
        <f>BK315/#REF!</f>
        <v>#REF!</v>
      </c>
      <c r="BX315" t="e">
        <f>#REF!/BS315</f>
        <v>#REF!</v>
      </c>
      <c r="CF315">
        <v>0.37219999999999998</v>
      </c>
      <c r="CG315">
        <v>0.38519999999999999</v>
      </c>
      <c r="CH315" t="s">
        <v>173</v>
      </c>
      <c r="CI315">
        <v>0.21029999999999999</v>
      </c>
      <c r="CJ315">
        <v>0</v>
      </c>
      <c r="CK315">
        <v>0</v>
      </c>
      <c r="CL315">
        <v>0</v>
      </c>
      <c r="CM315">
        <v>0</v>
      </c>
      <c r="CN315">
        <v>0</v>
      </c>
      <c r="CO315" t="s">
        <v>173</v>
      </c>
      <c r="CP315" t="s">
        <v>173</v>
      </c>
      <c r="CQ315" t="s">
        <v>173</v>
      </c>
      <c r="CR315" t="s">
        <v>173</v>
      </c>
      <c r="CS315" t="s">
        <v>173</v>
      </c>
      <c r="CT315" t="s">
        <v>173</v>
      </c>
      <c r="CU315" t="s">
        <v>173</v>
      </c>
      <c r="CV315" t="s">
        <v>173</v>
      </c>
      <c r="CW315" t="s">
        <v>173</v>
      </c>
      <c r="CX315" t="s">
        <v>173</v>
      </c>
      <c r="CY315">
        <v>1.12E-2</v>
      </c>
      <c r="CZ315" t="s">
        <v>173</v>
      </c>
      <c r="DA315" t="s">
        <v>173</v>
      </c>
      <c r="DB315" t="s">
        <v>173</v>
      </c>
      <c r="DC315" s="24">
        <f t="shared" si="161"/>
        <v>0.21029999999999999</v>
      </c>
      <c r="DD315" s="24">
        <f t="shared" si="162"/>
        <v>0.75739999999999996</v>
      </c>
      <c r="DE315" s="24">
        <f t="shared" si="163"/>
        <v>0</v>
      </c>
    </row>
    <row r="316" spans="1:109" ht="15" thickBot="1">
      <c r="A316" t="s">
        <v>402</v>
      </c>
      <c r="B316" t="s">
        <v>403</v>
      </c>
      <c r="C316" t="s">
        <v>305</v>
      </c>
      <c r="D316" t="s">
        <v>401</v>
      </c>
      <c r="G316">
        <v>10.26</v>
      </c>
      <c r="H316">
        <v>4.78</v>
      </c>
      <c r="I316">
        <v>6.17</v>
      </c>
      <c r="J316">
        <v>16.47</v>
      </c>
      <c r="K316">
        <v>0.14000000000000001</v>
      </c>
      <c r="L316">
        <f t="shared" si="160"/>
        <v>14.962999999999999</v>
      </c>
      <c r="M316">
        <v>0</v>
      </c>
      <c r="N316">
        <v>0</v>
      </c>
      <c r="O316">
        <v>27.76</v>
      </c>
      <c r="X316">
        <v>32.799999999999997</v>
      </c>
      <c r="Y316">
        <v>0.19</v>
      </c>
      <c r="AE316" s="19"/>
      <c r="BB316" s="75"/>
      <c r="BG316" s="76"/>
      <c r="BJ316" t="e">
        <f>#REF!/BJ$2</f>
        <v>#REF!</v>
      </c>
      <c r="BK316" t="e">
        <f>#REF!/BK$2</f>
        <v>#REF!</v>
      </c>
      <c r="BL316" t="e">
        <f>#REF!/BL$2</f>
        <v>#REF!</v>
      </c>
      <c r="BM316" t="e">
        <f>#REF!/BM$2</f>
        <v>#REF!</v>
      </c>
      <c r="BN316" t="e">
        <f>#REF!/BN$2</f>
        <v>#REF!</v>
      </c>
      <c r="BO316" t="e">
        <f>#REF!/BO$2</f>
        <v>#REF!</v>
      </c>
      <c r="BP316" t="e">
        <f>#REF!/BP$2</f>
        <v>#REF!</v>
      </c>
      <c r="BQ316" t="e">
        <f>#REF!/BQ$2</f>
        <v>#REF!</v>
      </c>
      <c r="BR316" t="e">
        <f>#REF!/BR$2</f>
        <v>#REF!</v>
      </c>
      <c r="BS316" t="e">
        <f>#REF!/BS$2</f>
        <v>#REF!</v>
      </c>
      <c r="BT316" t="e">
        <f>#REF!/BT$2</f>
        <v>#REF!</v>
      </c>
      <c r="BU316" t="e">
        <f t="shared" si="157"/>
        <v>#REF!</v>
      </c>
      <c r="BV316" t="e">
        <f>BK316/#REF!</f>
        <v>#REF!</v>
      </c>
      <c r="BX316" t="e">
        <f>#REF!/BS316</f>
        <v>#REF!</v>
      </c>
      <c r="CF316">
        <v>0.36820000000000003</v>
      </c>
      <c r="CG316">
        <v>0.42209999999999998</v>
      </c>
      <c r="CH316" t="s">
        <v>173</v>
      </c>
      <c r="CI316">
        <v>0.18210000000000001</v>
      </c>
      <c r="CJ316">
        <v>0</v>
      </c>
      <c r="CK316">
        <v>0</v>
      </c>
      <c r="CL316">
        <v>0</v>
      </c>
      <c r="CM316">
        <v>0</v>
      </c>
      <c r="CN316">
        <v>0</v>
      </c>
      <c r="CO316" t="s">
        <v>173</v>
      </c>
      <c r="CP316" t="s">
        <v>173</v>
      </c>
      <c r="CQ316" t="s">
        <v>173</v>
      </c>
      <c r="CR316" t="s">
        <v>173</v>
      </c>
      <c r="CS316" t="s">
        <v>173</v>
      </c>
      <c r="CT316" t="s">
        <v>173</v>
      </c>
      <c r="CU316" t="s">
        <v>173</v>
      </c>
      <c r="CV316" t="s">
        <v>173</v>
      </c>
      <c r="CW316" t="s">
        <v>173</v>
      </c>
      <c r="CX316" t="s">
        <v>173</v>
      </c>
      <c r="CY316">
        <v>2.1399999999999999E-2</v>
      </c>
      <c r="CZ316" t="s">
        <v>173</v>
      </c>
      <c r="DA316" t="s">
        <v>173</v>
      </c>
      <c r="DB316" t="s">
        <v>173</v>
      </c>
      <c r="DC316" s="24">
        <f t="shared" si="161"/>
        <v>0.18210000000000001</v>
      </c>
      <c r="DD316" s="24">
        <f t="shared" si="162"/>
        <v>0.7903</v>
      </c>
      <c r="DE316" s="24">
        <f t="shared" si="163"/>
        <v>0</v>
      </c>
    </row>
    <row r="317" spans="1:109">
      <c r="A317" t="s">
        <v>402</v>
      </c>
      <c r="B317" t="s">
        <v>403</v>
      </c>
      <c r="C317" t="s">
        <v>305</v>
      </c>
      <c r="D317" t="s">
        <v>401</v>
      </c>
      <c r="G317">
        <v>10.08</v>
      </c>
      <c r="H317">
        <v>4.6900000000000004</v>
      </c>
      <c r="I317">
        <v>6.11</v>
      </c>
      <c r="J317">
        <v>16.690000000000001</v>
      </c>
      <c r="K317">
        <v>0</v>
      </c>
      <c r="L317">
        <f t="shared" si="160"/>
        <v>15.021000000000001</v>
      </c>
      <c r="M317">
        <v>0</v>
      </c>
      <c r="N317">
        <v>0</v>
      </c>
      <c r="O317">
        <v>28.4</v>
      </c>
      <c r="X317">
        <v>32.86</v>
      </c>
      <c r="Y317">
        <v>0.2</v>
      </c>
      <c r="BG317" s="76"/>
      <c r="BJ317" t="e">
        <f>#REF!/BJ$2</f>
        <v>#REF!</v>
      </c>
      <c r="BK317" t="e">
        <f>#REF!/BK$2</f>
        <v>#REF!</v>
      </c>
      <c r="BL317" t="e">
        <f>#REF!/BL$2</f>
        <v>#REF!</v>
      </c>
      <c r="BM317" t="e">
        <f>#REF!/BM$2</f>
        <v>#REF!</v>
      </c>
      <c r="BN317" t="e">
        <f>#REF!/BN$2</f>
        <v>#REF!</v>
      </c>
      <c r="BO317" t="e">
        <f>#REF!/BO$2</f>
        <v>#REF!</v>
      </c>
      <c r="BP317" t="e">
        <f>#REF!/BP$2</f>
        <v>#REF!</v>
      </c>
      <c r="BQ317" t="e">
        <f>#REF!/BQ$2</f>
        <v>#REF!</v>
      </c>
      <c r="BR317" t="e">
        <f>#REF!/BR$2</f>
        <v>#REF!</v>
      </c>
      <c r="BS317" t="e">
        <f>#REF!/BS$2</f>
        <v>#REF!</v>
      </c>
      <c r="BT317" t="e">
        <f>#REF!/BT$2</f>
        <v>#REF!</v>
      </c>
      <c r="BU317" t="e">
        <f t="shared" si="157"/>
        <v>#REF!</v>
      </c>
      <c r="BV317" t="e">
        <f>BK317/#REF!</f>
        <v>#REF!</v>
      </c>
      <c r="BX317" t="e">
        <f>#REF!/BS317</f>
        <v>#REF!</v>
      </c>
      <c r="CF317">
        <v>0.36099999999999999</v>
      </c>
      <c r="CG317">
        <v>0.44080000000000003</v>
      </c>
      <c r="CH317" t="s">
        <v>173</v>
      </c>
      <c r="CI317">
        <v>0.1769</v>
      </c>
      <c r="CJ317">
        <v>0</v>
      </c>
      <c r="CK317">
        <v>0</v>
      </c>
      <c r="CL317">
        <v>0</v>
      </c>
      <c r="CM317">
        <v>0</v>
      </c>
      <c r="CN317">
        <v>0</v>
      </c>
      <c r="CO317" t="s">
        <v>173</v>
      </c>
      <c r="CP317" t="s">
        <v>173</v>
      </c>
      <c r="CQ317" t="s">
        <v>173</v>
      </c>
      <c r="CR317" t="s">
        <v>173</v>
      </c>
      <c r="CS317" t="s">
        <v>173</v>
      </c>
      <c r="CT317" t="s">
        <v>173</v>
      </c>
      <c r="CU317" t="s">
        <v>173</v>
      </c>
      <c r="CV317" t="s">
        <v>173</v>
      </c>
      <c r="CW317" t="s">
        <v>173</v>
      </c>
      <c r="CX317" t="s">
        <v>173</v>
      </c>
      <c r="CY317">
        <v>0</v>
      </c>
      <c r="CZ317" t="s">
        <v>173</v>
      </c>
      <c r="DA317" t="s">
        <v>173</v>
      </c>
      <c r="DB317" t="s">
        <v>173</v>
      </c>
      <c r="DC317" s="24">
        <f t="shared" si="161"/>
        <v>0.1769</v>
      </c>
      <c r="DD317" s="24">
        <f t="shared" si="162"/>
        <v>0.80180000000000007</v>
      </c>
      <c r="DE317" s="24">
        <f t="shared" si="163"/>
        <v>0</v>
      </c>
    </row>
    <row r="318" spans="1:109" ht="15.5">
      <c r="A318" t="s">
        <v>402</v>
      </c>
      <c r="B318" t="s">
        <v>403</v>
      </c>
      <c r="C318" t="s">
        <v>305</v>
      </c>
      <c r="D318" t="s">
        <v>401</v>
      </c>
      <c r="G318">
        <v>9.84</v>
      </c>
      <c r="H318">
        <v>4.72</v>
      </c>
      <c r="I318">
        <v>6.38</v>
      </c>
      <c r="J318">
        <v>16.22</v>
      </c>
      <c r="K318">
        <v>0</v>
      </c>
      <c r="L318">
        <f t="shared" si="160"/>
        <v>14.597999999999999</v>
      </c>
      <c r="M318">
        <v>0</v>
      </c>
      <c r="N318">
        <v>0</v>
      </c>
      <c r="O318">
        <v>28.08</v>
      </c>
      <c r="Q318" s="57"/>
      <c r="R318" s="57"/>
      <c r="S318" s="57"/>
      <c r="T318" s="57"/>
      <c r="U318" s="57"/>
      <c r="V318" s="57"/>
      <c r="W318" s="57"/>
      <c r="X318">
        <v>33.549999999999997</v>
      </c>
      <c r="Y318">
        <v>0.13</v>
      </c>
      <c r="Z318" s="57"/>
      <c r="AA318" s="57"/>
      <c r="AB318" s="57"/>
      <c r="AC318" s="57"/>
      <c r="AD318" s="57"/>
      <c r="AE318" s="57"/>
      <c r="AF318" s="57"/>
      <c r="AG318" s="72"/>
      <c r="AH318" s="72"/>
      <c r="AI318" s="72"/>
      <c r="AJ318" s="72"/>
      <c r="AK318" s="72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t="e">
        <f>#REF!/BJ$2</f>
        <v>#REF!</v>
      </c>
      <c r="BK318" t="e">
        <f>#REF!/BK$2</f>
        <v>#REF!</v>
      </c>
      <c r="BL318" t="e">
        <f>#REF!/BL$2</f>
        <v>#REF!</v>
      </c>
      <c r="BM318" t="e">
        <f>#REF!/BM$2</f>
        <v>#REF!</v>
      </c>
      <c r="BN318" t="e">
        <f>#REF!/BN$2</f>
        <v>#REF!</v>
      </c>
      <c r="BO318" t="e">
        <f>#REF!/BO$2</f>
        <v>#REF!</v>
      </c>
      <c r="BP318" t="e">
        <f>#REF!/BP$2</f>
        <v>#REF!</v>
      </c>
      <c r="BQ318" t="e">
        <f>#REF!/BQ$2</f>
        <v>#REF!</v>
      </c>
      <c r="BR318" t="e">
        <f>#REF!/BR$2</f>
        <v>#REF!</v>
      </c>
      <c r="BS318" t="e">
        <f>#REF!/BS$2</f>
        <v>#REF!</v>
      </c>
      <c r="BT318" t="e">
        <f>#REF!/BT$2</f>
        <v>#REF!</v>
      </c>
      <c r="BU318" t="e">
        <f t="shared" si="157"/>
        <v>#REF!</v>
      </c>
      <c r="BV318" t="e">
        <f>BK318/#REF!</f>
        <v>#REF!</v>
      </c>
      <c r="BX318" t="e">
        <f>#REF!/BS318</f>
        <v>#REF!</v>
      </c>
      <c r="CF318">
        <v>0.37959999999999999</v>
      </c>
      <c r="CG318">
        <v>0.42930000000000001</v>
      </c>
      <c r="CH318" t="s">
        <v>173</v>
      </c>
      <c r="CI318">
        <v>0.17929999999999999</v>
      </c>
      <c r="CJ318">
        <v>0</v>
      </c>
      <c r="CK318">
        <v>0</v>
      </c>
      <c r="CL318">
        <v>0</v>
      </c>
      <c r="CM318">
        <v>0</v>
      </c>
      <c r="CN318">
        <v>0</v>
      </c>
      <c r="CO318" t="s">
        <v>173</v>
      </c>
      <c r="CP318" t="s">
        <v>173</v>
      </c>
      <c r="CQ318" t="s">
        <v>173</v>
      </c>
      <c r="CR318" t="s">
        <v>173</v>
      </c>
      <c r="CS318" t="s">
        <v>173</v>
      </c>
      <c r="CT318" t="s">
        <v>173</v>
      </c>
      <c r="CU318" t="s">
        <v>173</v>
      </c>
      <c r="CV318" t="s">
        <v>173</v>
      </c>
      <c r="CW318" t="s">
        <v>173</v>
      </c>
      <c r="CX318" t="s">
        <v>173</v>
      </c>
      <c r="CY318">
        <v>0</v>
      </c>
      <c r="CZ318" t="s">
        <v>173</v>
      </c>
      <c r="DA318" t="s">
        <v>173</v>
      </c>
      <c r="DB318" t="s">
        <v>173</v>
      </c>
      <c r="DC318" s="24">
        <f t="shared" si="161"/>
        <v>0.17929999999999999</v>
      </c>
      <c r="DD318" s="24">
        <f t="shared" si="162"/>
        <v>0.80889999999999995</v>
      </c>
      <c r="DE318" s="24">
        <f t="shared" si="163"/>
        <v>0</v>
      </c>
    </row>
    <row r="319" spans="1:109" ht="15.5">
      <c r="A319" t="s">
        <v>402</v>
      </c>
      <c r="B319" t="s">
        <v>403</v>
      </c>
      <c r="C319" t="s">
        <v>305</v>
      </c>
      <c r="D319" t="s">
        <v>401</v>
      </c>
      <c r="G319">
        <v>10.039999999999999</v>
      </c>
      <c r="H319">
        <v>4.78</v>
      </c>
      <c r="I319">
        <v>6.24</v>
      </c>
      <c r="J319">
        <v>16.63</v>
      </c>
      <c r="K319">
        <v>0.04</v>
      </c>
      <c r="L319">
        <f t="shared" si="160"/>
        <v>15.006999999999998</v>
      </c>
      <c r="M319">
        <v>0</v>
      </c>
      <c r="N319">
        <v>0</v>
      </c>
      <c r="O319">
        <v>28.29</v>
      </c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72"/>
      <c r="AH319" s="72"/>
      <c r="AI319" s="72"/>
      <c r="AJ319" s="72"/>
      <c r="AK319" s="72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t="e">
        <f>#REF!/BJ$2</f>
        <v>#REF!</v>
      </c>
      <c r="BK319" t="e">
        <f>#REF!/BK$2</f>
        <v>#REF!</v>
      </c>
      <c r="BL319" t="e">
        <f>#REF!/BL$2</f>
        <v>#REF!</v>
      </c>
      <c r="BM319" t="e">
        <f>#REF!/BM$2</f>
        <v>#REF!</v>
      </c>
      <c r="BN319" t="e">
        <f>#REF!/BN$2</f>
        <v>#REF!</v>
      </c>
      <c r="BO319" t="e">
        <f>#REF!/BO$2</f>
        <v>#REF!</v>
      </c>
      <c r="BP319" t="e">
        <f>#REF!/BP$2</f>
        <v>#REF!</v>
      </c>
      <c r="BQ319" t="e">
        <f>#REF!/BQ$2</f>
        <v>#REF!</v>
      </c>
      <c r="BR319" t="e">
        <f>#REF!/BR$2</f>
        <v>#REF!</v>
      </c>
      <c r="BS319" t="e">
        <f>#REF!/BS$2</f>
        <v>#REF!</v>
      </c>
      <c r="BT319" t="e">
        <f>#REF!/BT$2</f>
        <v>#REF!</v>
      </c>
      <c r="BU319" t="e">
        <f t="shared" si="157"/>
        <v>#REF!</v>
      </c>
      <c r="BV319" t="e">
        <f>BK319/#REF!</f>
        <v>#REF!</v>
      </c>
      <c r="BX319" t="e">
        <f>#REF!/BS319</f>
        <v>#REF!</v>
      </c>
      <c r="CF319">
        <v>0.36670000000000003</v>
      </c>
      <c r="CG319">
        <v>0.4491</v>
      </c>
      <c r="CH319" t="s">
        <v>173</v>
      </c>
      <c r="CI319">
        <v>0.17929999999999999</v>
      </c>
      <c r="CJ319">
        <v>0</v>
      </c>
      <c r="CK319">
        <v>0</v>
      </c>
      <c r="CL319">
        <v>0</v>
      </c>
      <c r="CM319">
        <v>0</v>
      </c>
      <c r="CN319">
        <v>0</v>
      </c>
      <c r="CO319" t="s">
        <v>173</v>
      </c>
      <c r="CP319" t="s">
        <v>173</v>
      </c>
      <c r="CQ319" t="s">
        <v>173</v>
      </c>
      <c r="CR319" t="s">
        <v>173</v>
      </c>
      <c r="CS319" t="s">
        <v>173</v>
      </c>
      <c r="CT319" t="s">
        <v>173</v>
      </c>
      <c r="CU319" t="s">
        <v>173</v>
      </c>
      <c r="CV319" t="s">
        <v>173</v>
      </c>
      <c r="CW319" t="s">
        <v>173</v>
      </c>
      <c r="CX319" t="s">
        <v>173</v>
      </c>
      <c r="CY319">
        <v>0</v>
      </c>
      <c r="CZ319" t="s">
        <v>173</v>
      </c>
      <c r="DA319" t="s">
        <v>173</v>
      </c>
      <c r="DB319" t="s">
        <v>173</v>
      </c>
      <c r="DC319" s="24">
        <f t="shared" ref="DC319:DC331" si="164">CI319+CJ319</f>
        <v>0.17929999999999999</v>
      </c>
      <c r="DD319" s="24">
        <f t="shared" ref="DD319:DD331" si="165">CF319+CG319</f>
        <v>0.81580000000000008</v>
      </c>
      <c r="DE319" s="24">
        <f t="shared" ref="DE319:DE331" si="166">CK319+CM319+CN319</f>
        <v>0</v>
      </c>
    </row>
    <row r="320" spans="1:109" ht="15.5">
      <c r="T320" s="59"/>
      <c r="AC320" s="5"/>
      <c r="AD320" s="5"/>
      <c r="AG320" s="72"/>
      <c r="AH320" s="72"/>
      <c r="AI320" s="72"/>
      <c r="AJ320" s="72"/>
      <c r="AK320" s="72"/>
      <c r="AL320" s="60"/>
      <c r="AM320" s="77"/>
      <c r="AN320" s="60"/>
      <c r="AO320" s="59"/>
      <c r="AP320" s="5"/>
      <c r="AR320" s="60"/>
      <c r="AS320" s="77"/>
      <c r="AT320" s="60"/>
      <c r="AU320" s="59"/>
      <c r="AV320" s="5"/>
      <c r="BJ320" t="e">
        <f>#REF!/BJ$2</f>
        <v>#REF!</v>
      </c>
      <c r="BK320" t="e">
        <f>#REF!/BK$2</f>
        <v>#REF!</v>
      </c>
      <c r="BL320" t="e">
        <f>#REF!/BL$2</f>
        <v>#REF!</v>
      </c>
      <c r="BM320" t="e">
        <f>#REF!/BM$2</f>
        <v>#REF!</v>
      </c>
      <c r="BN320" t="e">
        <f>#REF!/BN$2</f>
        <v>#REF!</v>
      </c>
      <c r="BO320" t="e">
        <f>#REF!/BO$2</f>
        <v>#REF!</v>
      </c>
      <c r="BP320" t="e">
        <f>#REF!/BP$2</f>
        <v>#REF!</v>
      </c>
      <c r="BQ320" t="e">
        <f>#REF!/BQ$2</f>
        <v>#REF!</v>
      </c>
      <c r="BR320" t="e">
        <f>#REF!/BR$2</f>
        <v>#REF!</v>
      </c>
      <c r="BS320" t="e">
        <f>#REF!/BS$2</f>
        <v>#REF!</v>
      </c>
      <c r="BT320" t="e">
        <f>#REF!/BT$2</f>
        <v>#REF!</v>
      </c>
      <c r="BU320" t="e">
        <f t="shared" si="157"/>
        <v>#REF!</v>
      </c>
      <c r="BV320" t="e">
        <f>BK320/#REF!</f>
        <v>#REF!</v>
      </c>
      <c r="BX320" t="e">
        <f>#REF!/BS320</f>
        <v>#REF!</v>
      </c>
      <c r="CJ320">
        <v>0</v>
      </c>
      <c r="CK320">
        <v>0</v>
      </c>
      <c r="CL320">
        <v>0</v>
      </c>
      <c r="CX320">
        <v>0</v>
      </c>
      <c r="CY320">
        <v>0</v>
      </c>
      <c r="DC320" s="24">
        <f t="shared" si="164"/>
        <v>0</v>
      </c>
      <c r="DD320" s="24">
        <f t="shared" si="165"/>
        <v>0</v>
      </c>
      <c r="DE320" s="24">
        <f t="shared" si="166"/>
        <v>0</v>
      </c>
    </row>
    <row r="321" spans="1:109">
      <c r="CJ321">
        <v>0</v>
      </c>
      <c r="CK321">
        <v>0</v>
      </c>
      <c r="CL321">
        <v>0</v>
      </c>
      <c r="CY321">
        <v>0</v>
      </c>
    </row>
    <row r="322" spans="1:109">
      <c r="A322" t="s">
        <v>405</v>
      </c>
      <c r="B322" t="s">
        <v>409</v>
      </c>
      <c r="D322" t="s">
        <v>404</v>
      </c>
      <c r="G322">
        <v>16.14</v>
      </c>
      <c r="H322">
        <v>6.51</v>
      </c>
      <c r="I322">
        <v>9.52</v>
      </c>
      <c r="J322">
        <v>0</v>
      </c>
      <c r="K322">
        <v>6.31</v>
      </c>
      <c r="L322">
        <f t="shared" si="160"/>
        <v>6.31</v>
      </c>
      <c r="M322">
        <v>3.2</v>
      </c>
      <c r="O322">
        <v>29.86</v>
      </c>
      <c r="X322">
        <v>28.07</v>
      </c>
      <c r="CF322">
        <v>0.5101</v>
      </c>
      <c r="CG322">
        <v>0.11219999999999999</v>
      </c>
      <c r="CH322" t="s">
        <v>173</v>
      </c>
      <c r="CI322">
        <v>0.14399999999999999</v>
      </c>
      <c r="CJ322">
        <v>0</v>
      </c>
      <c r="CK322">
        <v>0</v>
      </c>
      <c r="CL322">
        <v>0</v>
      </c>
      <c r="CM322">
        <v>0.1573</v>
      </c>
      <c r="CN322">
        <v>0</v>
      </c>
      <c r="CO322" t="s">
        <v>173</v>
      </c>
      <c r="CP322" t="s">
        <v>173</v>
      </c>
      <c r="CQ322" t="s">
        <v>173</v>
      </c>
      <c r="CR322" t="s">
        <v>173</v>
      </c>
      <c r="CS322" t="s">
        <v>173</v>
      </c>
      <c r="CT322" t="s">
        <v>173</v>
      </c>
      <c r="CU322" t="s">
        <v>173</v>
      </c>
      <c r="CV322" t="s">
        <v>173</v>
      </c>
      <c r="CW322" t="s">
        <v>173</v>
      </c>
      <c r="CX322" t="s">
        <v>173</v>
      </c>
      <c r="CY322">
        <v>0</v>
      </c>
      <c r="CZ322" t="s">
        <v>173</v>
      </c>
      <c r="DA322" t="s">
        <v>173</v>
      </c>
      <c r="DB322" t="s">
        <v>173</v>
      </c>
      <c r="DC322" s="24">
        <f t="shared" ref="DC322" si="167">CI322+CJ322</f>
        <v>0.14399999999999999</v>
      </c>
      <c r="DD322" s="24">
        <f t="shared" ref="DD322" si="168">CF322+CG322</f>
        <v>0.62229999999999996</v>
      </c>
      <c r="DE322" s="24">
        <f>CK322+CM322+CN322</f>
        <v>0.1573</v>
      </c>
    </row>
    <row r="323" spans="1:109" ht="15.5">
      <c r="A323" t="s">
        <v>405</v>
      </c>
      <c r="B323" t="s">
        <v>409</v>
      </c>
      <c r="D323" t="s">
        <v>404</v>
      </c>
      <c r="G323">
        <v>16.16</v>
      </c>
      <c r="H323">
        <v>6.79</v>
      </c>
      <c r="I323">
        <v>9.58</v>
      </c>
      <c r="J323">
        <v>0</v>
      </c>
      <c r="K323">
        <v>6.48</v>
      </c>
      <c r="L323">
        <f t="shared" si="160"/>
        <v>6.48</v>
      </c>
      <c r="M323">
        <v>3.06</v>
      </c>
      <c r="O323">
        <v>30.22</v>
      </c>
      <c r="Q323" s="60"/>
      <c r="T323" s="59"/>
      <c r="X323">
        <v>28.13</v>
      </c>
      <c r="AC323" s="5"/>
      <c r="AD323" s="5"/>
      <c r="AG323" s="72"/>
      <c r="AH323" s="72"/>
      <c r="AI323" s="72"/>
      <c r="AJ323" s="72"/>
      <c r="AK323" s="72"/>
      <c r="AL323" s="60"/>
      <c r="AM323" s="77"/>
      <c r="AN323" s="60"/>
      <c r="AO323" s="59"/>
      <c r="AP323" s="5"/>
      <c r="AQ323" s="57"/>
      <c r="AR323" s="60"/>
      <c r="AS323" s="77"/>
      <c r="AT323" s="60"/>
      <c r="AU323" s="59"/>
      <c r="AV323" s="5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57"/>
      <c r="BI323" s="57"/>
      <c r="BJ323" t="e">
        <f>#REF!/BJ$2</f>
        <v>#REF!</v>
      </c>
      <c r="BK323" t="e">
        <f>#REF!/BK$2</f>
        <v>#REF!</v>
      </c>
      <c r="BL323" t="e">
        <f>#REF!/BL$2</f>
        <v>#REF!</v>
      </c>
      <c r="BM323" t="e">
        <f>#REF!/BM$2</f>
        <v>#REF!</v>
      </c>
      <c r="BN323" t="e">
        <f>#REF!/BN$2</f>
        <v>#REF!</v>
      </c>
      <c r="BO323" t="e">
        <f>#REF!/BO$2</f>
        <v>#REF!</v>
      </c>
      <c r="BP323" t="e">
        <f>#REF!/BP$2</f>
        <v>#REF!</v>
      </c>
      <c r="BQ323" t="e">
        <f>#REF!/BQ$2</f>
        <v>#REF!</v>
      </c>
      <c r="BR323" t="e">
        <f>#REF!/BR$2</f>
        <v>#REF!</v>
      </c>
      <c r="BS323" t="e">
        <f>#REF!/BS$2</f>
        <v>#REF!</v>
      </c>
      <c r="BT323" t="e">
        <f>#REF!/BT$2</f>
        <v>#REF!</v>
      </c>
      <c r="BU323" t="e">
        <f t="shared" si="157"/>
        <v>#REF!</v>
      </c>
      <c r="BV323" t="e">
        <f>BK323/#REF!</f>
        <v>#REF!</v>
      </c>
      <c r="BX323" t="e">
        <f>#REF!/BS323</f>
        <v>#REF!</v>
      </c>
      <c r="CF323">
        <v>0.50949999999999995</v>
      </c>
      <c r="CG323">
        <v>0.1095</v>
      </c>
      <c r="CH323" t="s">
        <v>173</v>
      </c>
      <c r="CI323">
        <v>0.1517</v>
      </c>
      <c r="CJ323">
        <v>0</v>
      </c>
      <c r="CK323">
        <v>0</v>
      </c>
      <c r="CL323">
        <v>0</v>
      </c>
      <c r="CM323">
        <v>0.15759999999999999</v>
      </c>
      <c r="CN323">
        <v>0</v>
      </c>
      <c r="CO323" t="s">
        <v>173</v>
      </c>
      <c r="CP323" t="s">
        <v>173</v>
      </c>
      <c r="CQ323" t="s">
        <v>173</v>
      </c>
      <c r="CR323" t="s">
        <v>173</v>
      </c>
      <c r="CS323" t="s">
        <v>173</v>
      </c>
      <c r="CT323" t="s">
        <v>173</v>
      </c>
      <c r="CU323" t="s">
        <v>173</v>
      </c>
      <c r="CV323" t="s">
        <v>173</v>
      </c>
      <c r="CW323" t="s">
        <v>173</v>
      </c>
      <c r="CX323" t="s">
        <v>173</v>
      </c>
      <c r="CY323">
        <v>0</v>
      </c>
      <c r="CZ323" t="s">
        <v>173</v>
      </c>
      <c r="DA323" t="s">
        <v>173</v>
      </c>
      <c r="DB323" t="s">
        <v>173</v>
      </c>
      <c r="DC323" s="24">
        <f t="shared" si="164"/>
        <v>0.1517</v>
      </c>
      <c r="DD323" s="24">
        <f t="shared" si="165"/>
        <v>0.61899999999999999</v>
      </c>
      <c r="DE323" s="24">
        <f>CK323+CM323+CN323</f>
        <v>0.15759999999999999</v>
      </c>
    </row>
    <row r="324" spans="1:109">
      <c r="A324" t="s">
        <v>405</v>
      </c>
      <c r="B324" t="s">
        <v>409</v>
      </c>
      <c r="D324" t="s">
        <v>404</v>
      </c>
      <c r="G324">
        <v>17.559999999999999</v>
      </c>
      <c r="H324">
        <v>7.54</v>
      </c>
      <c r="I324">
        <v>9</v>
      </c>
      <c r="J324">
        <v>0</v>
      </c>
      <c r="K324">
        <v>6.49</v>
      </c>
      <c r="L324">
        <f t="shared" si="160"/>
        <v>6.49</v>
      </c>
      <c r="M324">
        <v>3.71</v>
      </c>
      <c r="O324">
        <v>30.67</v>
      </c>
      <c r="X324">
        <v>25.93</v>
      </c>
      <c r="BG324">
        <f t="shared" si="143"/>
        <v>0</v>
      </c>
      <c r="BH324">
        <f t="shared" si="144"/>
        <v>0</v>
      </c>
      <c r="BI324">
        <f t="shared" si="145"/>
        <v>0</v>
      </c>
      <c r="BJ324">
        <f t="shared" si="146"/>
        <v>0</v>
      </c>
      <c r="BK324">
        <f t="shared" si="147"/>
        <v>0</v>
      </c>
      <c r="BL324">
        <f t="shared" si="148"/>
        <v>0</v>
      </c>
      <c r="BM324">
        <f t="shared" si="149"/>
        <v>0</v>
      </c>
      <c r="BN324">
        <f t="shared" si="150"/>
        <v>0</v>
      </c>
      <c r="BO324">
        <f t="shared" si="151"/>
        <v>0</v>
      </c>
      <c r="BP324">
        <f t="shared" si="152"/>
        <v>0</v>
      </c>
      <c r="BQ324">
        <f t="shared" si="153"/>
        <v>0</v>
      </c>
      <c r="BR324">
        <f t="shared" si="154"/>
        <v>0</v>
      </c>
      <c r="BS324">
        <f t="shared" si="155"/>
        <v>0</v>
      </c>
      <c r="BT324">
        <f t="shared" si="156"/>
        <v>0</v>
      </c>
      <c r="BU324" t="e">
        <f t="shared" si="157"/>
        <v>#DIV/0!</v>
      </c>
      <c r="BV324" t="e">
        <f t="shared" si="158"/>
        <v>#DIV/0!</v>
      </c>
      <c r="BX324" t="e">
        <f t="shared" si="159"/>
        <v>#DIV/0!</v>
      </c>
      <c r="CF324">
        <v>0.4698</v>
      </c>
      <c r="CG324">
        <v>9.0200000000000002E-2</v>
      </c>
      <c r="CH324" t="s">
        <v>173</v>
      </c>
      <c r="CI324">
        <v>0.16209999999999999</v>
      </c>
      <c r="CJ324">
        <v>0</v>
      </c>
      <c r="CK324">
        <v>0</v>
      </c>
      <c r="CL324">
        <v>0</v>
      </c>
      <c r="CM324">
        <v>0.17829999999999999</v>
      </c>
      <c r="CN324">
        <v>0</v>
      </c>
      <c r="CO324" t="s">
        <v>173</v>
      </c>
      <c r="CP324" t="s">
        <v>173</v>
      </c>
      <c r="CQ324" t="s">
        <v>173</v>
      </c>
      <c r="CR324" t="s">
        <v>173</v>
      </c>
      <c r="CS324" t="s">
        <v>173</v>
      </c>
      <c r="CT324" t="s">
        <v>173</v>
      </c>
      <c r="CU324" t="s">
        <v>173</v>
      </c>
      <c r="CV324" t="s">
        <v>173</v>
      </c>
      <c r="CW324" t="s">
        <v>173</v>
      </c>
      <c r="CX324" t="s">
        <v>173</v>
      </c>
      <c r="CY324">
        <v>0</v>
      </c>
      <c r="CZ324" t="s">
        <v>173</v>
      </c>
      <c r="DA324" t="s">
        <v>173</v>
      </c>
      <c r="DB324" t="s">
        <v>173</v>
      </c>
      <c r="DC324" s="24">
        <f t="shared" si="164"/>
        <v>0.16209999999999999</v>
      </c>
      <c r="DD324" s="24">
        <f t="shared" si="165"/>
        <v>0.56000000000000005</v>
      </c>
      <c r="DE324" s="24">
        <f t="shared" si="166"/>
        <v>0.17829999999999999</v>
      </c>
    </row>
    <row r="325" spans="1:109" ht="15.5">
      <c r="A325" t="s">
        <v>405</v>
      </c>
      <c r="B325" t="s">
        <v>409</v>
      </c>
      <c r="D325" t="s">
        <v>404</v>
      </c>
      <c r="G325">
        <v>16.63</v>
      </c>
      <c r="H325">
        <v>6.95</v>
      </c>
      <c r="I325">
        <v>9.3699999999999992</v>
      </c>
      <c r="J325">
        <v>0</v>
      </c>
      <c r="K325">
        <v>6.43</v>
      </c>
      <c r="L325">
        <f t="shared" si="160"/>
        <v>6.43</v>
      </c>
      <c r="M325">
        <v>3.32</v>
      </c>
      <c r="O325">
        <v>30.25</v>
      </c>
      <c r="Q325" s="57"/>
      <c r="R325" s="57"/>
      <c r="S325" s="57"/>
      <c r="T325" s="57"/>
      <c r="U325" s="57"/>
      <c r="V325" s="57"/>
      <c r="W325" s="57"/>
      <c r="X325">
        <v>27.38</v>
      </c>
      <c r="Y325" s="57"/>
      <c r="Z325" s="57"/>
      <c r="AA325" s="57"/>
      <c r="AB325" s="57"/>
      <c r="AC325" s="57"/>
      <c r="AD325" s="57"/>
      <c r="AE325" s="57"/>
      <c r="AF325" s="57"/>
      <c r="AG325" s="72"/>
      <c r="AH325" s="72"/>
      <c r="AI325" s="72"/>
      <c r="AJ325" s="72"/>
      <c r="AK325" s="72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t="e">
        <f>#REF!/BJ$2</f>
        <v>#REF!</v>
      </c>
      <c r="BK325" t="e">
        <f>#REF!/BK$2</f>
        <v>#REF!</v>
      </c>
      <c r="BL325" t="e">
        <f>#REF!/BL$2</f>
        <v>#REF!</v>
      </c>
      <c r="BM325" t="e">
        <f>#REF!/BM$2</f>
        <v>#REF!</v>
      </c>
      <c r="BN325" t="e">
        <f>#REF!/BN$2</f>
        <v>#REF!</v>
      </c>
      <c r="BO325" t="e">
        <f>#REF!/BO$2</f>
        <v>#REF!</v>
      </c>
      <c r="BP325" t="e">
        <f>#REF!/BP$2</f>
        <v>#REF!</v>
      </c>
      <c r="BQ325" t="e">
        <f>#REF!/BQ$2</f>
        <v>#REF!</v>
      </c>
      <c r="BR325" t="e">
        <f>#REF!/BR$2</f>
        <v>#REF!</v>
      </c>
      <c r="BS325" t="e">
        <f>#REF!/BS$2</f>
        <v>#REF!</v>
      </c>
      <c r="BT325" t="e">
        <f>#REF!/BT$2</f>
        <v>#REF!</v>
      </c>
      <c r="BU325" t="e">
        <f>BK325/BS325</f>
        <v>#REF!</v>
      </c>
      <c r="BV325" t="e">
        <f>BK325/#REF!</f>
        <v>#REF!</v>
      </c>
      <c r="BX325" t="e">
        <f>#REF!/BS325</f>
        <v>#REF!</v>
      </c>
      <c r="CF325">
        <v>0.49640000000000001</v>
      </c>
      <c r="CG325">
        <v>0.1037</v>
      </c>
      <c r="CH325" t="s">
        <v>173</v>
      </c>
      <c r="CI325">
        <v>0.15240000000000001</v>
      </c>
      <c r="CJ325">
        <v>0</v>
      </c>
      <c r="CK325">
        <v>0</v>
      </c>
      <c r="CL325">
        <v>0</v>
      </c>
      <c r="CM325">
        <v>0.16520000000000001</v>
      </c>
      <c r="CN325">
        <v>0</v>
      </c>
      <c r="CO325" t="s">
        <v>173</v>
      </c>
      <c r="CP325" t="s">
        <v>173</v>
      </c>
      <c r="CQ325" t="s">
        <v>173</v>
      </c>
      <c r="CR325" t="s">
        <v>173</v>
      </c>
      <c r="CS325" t="s">
        <v>173</v>
      </c>
      <c r="CT325" t="s">
        <v>173</v>
      </c>
      <c r="CU325" t="s">
        <v>173</v>
      </c>
      <c r="CV325" t="s">
        <v>173</v>
      </c>
      <c r="CW325" t="s">
        <v>173</v>
      </c>
      <c r="CX325" t="s">
        <v>173</v>
      </c>
      <c r="CY325">
        <v>0</v>
      </c>
      <c r="CZ325" t="s">
        <v>173</v>
      </c>
      <c r="DA325" t="s">
        <v>173</v>
      </c>
      <c r="DB325" t="s">
        <v>173</v>
      </c>
      <c r="DC325" s="24">
        <f>CI325+CJ325</f>
        <v>0.15240000000000001</v>
      </c>
      <c r="DD325" s="24">
        <f>CF325+CG325</f>
        <v>0.60009999999999997</v>
      </c>
      <c r="DE325" s="24">
        <f>CK325+CM325+CN325</f>
        <v>0.16520000000000001</v>
      </c>
    </row>
    <row r="326" spans="1:109">
      <c r="DC326" s="24"/>
      <c r="DD326" s="24"/>
      <c r="DE326" s="24"/>
    </row>
    <row r="328" spans="1:109" ht="15.5">
      <c r="A328" t="s">
        <v>406</v>
      </c>
      <c r="B328" t="s">
        <v>408</v>
      </c>
      <c r="D328" t="s">
        <v>407</v>
      </c>
      <c r="G328">
        <v>14.24</v>
      </c>
      <c r="H328" s="57">
        <v>9.57</v>
      </c>
      <c r="I328">
        <v>7.31</v>
      </c>
      <c r="J328">
        <v>12.99</v>
      </c>
      <c r="M328">
        <v>0.76</v>
      </c>
      <c r="O328" s="57">
        <v>29.48</v>
      </c>
      <c r="X328">
        <v>24.34</v>
      </c>
      <c r="BJ328" t="e">
        <f>#REF!/BJ$2</f>
        <v>#REF!</v>
      </c>
      <c r="BK328" t="e">
        <f>#REF!/BK$2</f>
        <v>#REF!</v>
      </c>
      <c r="BL328" t="e">
        <f>#REF!/BL$2</f>
        <v>#REF!</v>
      </c>
      <c r="BM328" t="e">
        <f>#REF!/BM$2</f>
        <v>#REF!</v>
      </c>
      <c r="BN328" t="e">
        <f>#REF!/BN$2</f>
        <v>#REF!</v>
      </c>
      <c r="BO328" t="e">
        <f>#REF!/BO$2</f>
        <v>#REF!</v>
      </c>
      <c r="BP328" t="e">
        <f>#REF!/BP$2</f>
        <v>#REF!</v>
      </c>
      <c r="BQ328" t="e">
        <f>#REF!/BQ$2</f>
        <v>#REF!</v>
      </c>
      <c r="BR328" t="e">
        <f>#REF!/BR$2</f>
        <v>#REF!</v>
      </c>
      <c r="BS328" t="e">
        <f>#REF!/BS$2</f>
        <v>#REF!</v>
      </c>
      <c r="BT328" t="e">
        <f>#REF!/BT$2</f>
        <v>#REF!</v>
      </c>
      <c r="BU328" t="e">
        <f>BK328/BS328</f>
        <v>#REF!</v>
      </c>
      <c r="BV328" t="e">
        <f>BK328/#REF!</f>
        <v>#REF!</v>
      </c>
      <c r="BX328" t="e">
        <f>#REF!/BS328</f>
        <v>#REF!</v>
      </c>
      <c r="CF328">
        <v>0.40820000000000001</v>
      </c>
      <c r="CG328">
        <v>0.15409999999999999</v>
      </c>
      <c r="CH328" t="s">
        <v>173</v>
      </c>
      <c r="CI328">
        <v>0.26290000000000002</v>
      </c>
      <c r="CJ328">
        <v>0</v>
      </c>
      <c r="CK328">
        <v>0</v>
      </c>
      <c r="CL328">
        <v>0</v>
      </c>
      <c r="CM328">
        <v>0.1007</v>
      </c>
      <c r="CN328">
        <v>0</v>
      </c>
      <c r="CO328" t="s">
        <v>173</v>
      </c>
      <c r="CP328" t="s">
        <v>173</v>
      </c>
      <c r="CQ328" t="s">
        <v>173</v>
      </c>
      <c r="CR328" t="s">
        <v>173</v>
      </c>
      <c r="CS328" t="s">
        <v>173</v>
      </c>
      <c r="CT328" t="s">
        <v>173</v>
      </c>
      <c r="CU328" t="s">
        <v>173</v>
      </c>
      <c r="CV328" t="s">
        <v>173</v>
      </c>
      <c r="CW328" t="s">
        <v>173</v>
      </c>
      <c r="CX328">
        <v>0</v>
      </c>
      <c r="CY328">
        <v>4.6100000000000002E-2</v>
      </c>
      <c r="CZ328" t="s">
        <v>173</v>
      </c>
      <c r="DA328" t="s">
        <v>173</v>
      </c>
      <c r="DB328" t="s">
        <v>173</v>
      </c>
      <c r="DC328" s="24">
        <f>CI328+CJ328</f>
        <v>0.26290000000000002</v>
      </c>
      <c r="DD328" s="24">
        <f>CF328+CG328</f>
        <v>0.56230000000000002</v>
      </c>
      <c r="DE328" s="24">
        <f>CK328+CM328+CN328</f>
        <v>0.1007</v>
      </c>
    </row>
    <row r="329" spans="1:109">
      <c r="BG329">
        <f t="shared" si="143"/>
        <v>0</v>
      </c>
      <c r="BH329">
        <f t="shared" si="144"/>
        <v>0</v>
      </c>
      <c r="BI329">
        <f t="shared" si="145"/>
        <v>0</v>
      </c>
      <c r="BJ329">
        <f t="shared" si="146"/>
        <v>0</v>
      </c>
      <c r="BK329">
        <f t="shared" si="147"/>
        <v>0</v>
      </c>
      <c r="BL329">
        <f t="shared" si="148"/>
        <v>0</v>
      </c>
      <c r="BM329">
        <f t="shared" si="149"/>
        <v>0</v>
      </c>
      <c r="BN329">
        <f t="shared" si="150"/>
        <v>0</v>
      </c>
      <c r="BO329">
        <f t="shared" si="151"/>
        <v>0</v>
      </c>
      <c r="BP329">
        <f t="shared" si="152"/>
        <v>0</v>
      </c>
      <c r="BQ329">
        <f t="shared" si="153"/>
        <v>0</v>
      </c>
      <c r="BR329">
        <f t="shared" si="154"/>
        <v>0</v>
      </c>
      <c r="BS329">
        <f t="shared" si="155"/>
        <v>0</v>
      </c>
      <c r="BT329">
        <f t="shared" si="156"/>
        <v>0</v>
      </c>
      <c r="BU329" t="e">
        <f t="shared" si="157"/>
        <v>#DIV/0!</v>
      </c>
      <c r="BV329" t="e">
        <f t="shared" si="158"/>
        <v>#DIV/0!</v>
      </c>
      <c r="BX329" t="e">
        <f t="shared" si="159"/>
        <v>#DIV/0!</v>
      </c>
      <c r="CX329">
        <v>0</v>
      </c>
      <c r="DC329" s="24">
        <f t="shared" si="164"/>
        <v>0</v>
      </c>
      <c r="DD329" s="24">
        <f t="shared" si="165"/>
        <v>0</v>
      </c>
      <c r="DE329" s="24">
        <f t="shared" si="166"/>
        <v>0</v>
      </c>
    </row>
    <row r="330" spans="1:109">
      <c r="BG330">
        <f t="shared" si="143"/>
        <v>0</v>
      </c>
      <c r="BH330">
        <f t="shared" si="144"/>
        <v>0</v>
      </c>
      <c r="BI330">
        <f t="shared" si="145"/>
        <v>0</v>
      </c>
      <c r="BJ330">
        <f t="shared" si="146"/>
        <v>0</v>
      </c>
      <c r="BK330">
        <f t="shared" si="147"/>
        <v>0</v>
      </c>
      <c r="BL330">
        <f t="shared" si="148"/>
        <v>0</v>
      </c>
      <c r="BM330">
        <f t="shared" si="149"/>
        <v>0</v>
      </c>
      <c r="BN330">
        <f t="shared" si="150"/>
        <v>0</v>
      </c>
      <c r="BO330">
        <f t="shared" si="151"/>
        <v>0</v>
      </c>
      <c r="BP330">
        <f t="shared" si="152"/>
        <v>0</v>
      </c>
      <c r="BQ330">
        <f t="shared" si="153"/>
        <v>0</v>
      </c>
      <c r="BR330">
        <f t="shared" si="154"/>
        <v>0</v>
      </c>
      <c r="BS330">
        <f t="shared" si="155"/>
        <v>0</v>
      </c>
      <c r="BT330">
        <f t="shared" si="156"/>
        <v>0</v>
      </c>
      <c r="BU330" t="e">
        <f t="shared" si="157"/>
        <v>#DIV/0!</v>
      </c>
      <c r="BV330" t="e">
        <f t="shared" si="158"/>
        <v>#DIV/0!</v>
      </c>
      <c r="BX330" t="e">
        <f t="shared" si="159"/>
        <v>#DIV/0!</v>
      </c>
      <c r="CX330">
        <v>0</v>
      </c>
      <c r="DC330" s="24">
        <f t="shared" si="164"/>
        <v>0</v>
      </c>
      <c r="DD330" s="24">
        <f t="shared" si="165"/>
        <v>0</v>
      </c>
      <c r="DE330" s="24">
        <f t="shared" si="166"/>
        <v>0</v>
      </c>
    </row>
    <row r="331" spans="1:109">
      <c r="BG331">
        <f t="shared" si="143"/>
        <v>0</v>
      </c>
      <c r="BH331">
        <f t="shared" si="144"/>
        <v>0</v>
      </c>
      <c r="BI331">
        <f t="shared" si="145"/>
        <v>0</v>
      </c>
      <c r="BJ331">
        <f t="shared" si="146"/>
        <v>0</v>
      </c>
      <c r="BK331">
        <f t="shared" si="147"/>
        <v>0</v>
      </c>
      <c r="BL331">
        <f t="shared" si="148"/>
        <v>0</v>
      </c>
      <c r="BM331">
        <f t="shared" si="149"/>
        <v>0</v>
      </c>
      <c r="BN331">
        <f t="shared" si="150"/>
        <v>0</v>
      </c>
      <c r="BO331">
        <f t="shared" si="151"/>
        <v>0</v>
      </c>
      <c r="BP331">
        <f t="shared" si="152"/>
        <v>0</v>
      </c>
      <c r="BQ331">
        <f t="shared" si="153"/>
        <v>0</v>
      </c>
      <c r="BR331">
        <f t="shared" si="154"/>
        <v>0</v>
      </c>
      <c r="BS331">
        <f t="shared" si="155"/>
        <v>0</v>
      </c>
      <c r="BT331">
        <f t="shared" si="156"/>
        <v>0</v>
      </c>
      <c r="BU331" t="e">
        <f t="shared" si="157"/>
        <v>#DIV/0!</v>
      </c>
      <c r="BV331" t="e">
        <f t="shared" si="158"/>
        <v>#DIV/0!</v>
      </c>
      <c r="BX331" t="e">
        <f t="shared" si="159"/>
        <v>#DIV/0!</v>
      </c>
      <c r="CX331">
        <v>0</v>
      </c>
      <c r="DC331" s="24">
        <f t="shared" si="164"/>
        <v>0</v>
      </c>
      <c r="DD331" s="24">
        <f t="shared" si="165"/>
        <v>0</v>
      </c>
      <c r="DE331" s="24">
        <f t="shared" si="166"/>
        <v>0</v>
      </c>
    </row>
    <row r="332" spans="1:109">
      <c r="BG332">
        <f t="shared" si="143"/>
        <v>0</v>
      </c>
      <c r="BH332">
        <f t="shared" si="144"/>
        <v>0</v>
      </c>
      <c r="BI332">
        <f t="shared" si="145"/>
        <v>0</v>
      </c>
      <c r="BJ332">
        <f t="shared" si="146"/>
        <v>0</v>
      </c>
      <c r="BK332">
        <f t="shared" si="147"/>
        <v>0</v>
      </c>
      <c r="BL332">
        <f t="shared" si="148"/>
        <v>0</v>
      </c>
      <c r="BM332">
        <f t="shared" si="149"/>
        <v>0</v>
      </c>
      <c r="BN332">
        <f t="shared" si="150"/>
        <v>0</v>
      </c>
      <c r="BO332">
        <f t="shared" si="151"/>
        <v>0</v>
      </c>
      <c r="BP332">
        <f t="shared" si="152"/>
        <v>0</v>
      </c>
      <c r="BQ332">
        <f t="shared" si="153"/>
        <v>0</v>
      </c>
      <c r="BR332">
        <f t="shared" si="154"/>
        <v>0</v>
      </c>
      <c r="BS332">
        <f t="shared" si="155"/>
        <v>0</v>
      </c>
      <c r="BT332">
        <f t="shared" si="156"/>
        <v>0</v>
      </c>
      <c r="BU332" t="e">
        <f t="shared" si="157"/>
        <v>#DIV/0!</v>
      </c>
      <c r="BV332" t="e">
        <f t="shared" si="158"/>
        <v>#DIV/0!</v>
      </c>
      <c r="BX332" t="e">
        <f t="shared" si="159"/>
        <v>#DIV/0!</v>
      </c>
      <c r="CX332">
        <v>0</v>
      </c>
    </row>
    <row r="333" spans="1:109">
      <c r="BG333">
        <f t="shared" si="143"/>
        <v>0</v>
      </c>
      <c r="BH333">
        <f t="shared" si="144"/>
        <v>0</v>
      </c>
      <c r="BI333">
        <f t="shared" si="145"/>
        <v>0</v>
      </c>
      <c r="BJ333">
        <f t="shared" si="146"/>
        <v>0</v>
      </c>
      <c r="BK333">
        <f t="shared" si="147"/>
        <v>0</v>
      </c>
      <c r="BL333">
        <f t="shared" si="148"/>
        <v>0</v>
      </c>
      <c r="BM333">
        <f t="shared" si="149"/>
        <v>0</v>
      </c>
      <c r="BN333">
        <f t="shared" si="150"/>
        <v>0</v>
      </c>
      <c r="BO333">
        <f t="shared" si="151"/>
        <v>0</v>
      </c>
      <c r="BP333">
        <f t="shared" si="152"/>
        <v>0</v>
      </c>
      <c r="BQ333">
        <f t="shared" si="153"/>
        <v>0</v>
      </c>
      <c r="BR333">
        <f t="shared" si="154"/>
        <v>0</v>
      </c>
      <c r="BS333">
        <f t="shared" si="155"/>
        <v>0</v>
      </c>
      <c r="BT333">
        <f t="shared" si="156"/>
        <v>0</v>
      </c>
      <c r="BU333" t="e">
        <f t="shared" si="157"/>
        <v>#DIV/0!</v>
      </c>
      <c r="BV333" t="e">
        <f t="shared" si="158"/>
        <v>#DIV/0!</v>
      </c>
      <c r="BX333" t="e">
        <f t="shared" si="159"/>
        <v>#DIV/0!</v>
      </c>
      <c r="CX333">
        <v>0</v>
      </c>
    </row>
    <row r="334" spans="1:109">
      <c r="BG334">
        <f t="shared" ref="BG334:BG373" si="169">AH334/BG$2</f>
        <v>0</v>
      </c>
      <c r="BH334">
        <f t="shared" ref="BH334:BH373" si="170">AI334/BH$2</f>
        <v>0</v>
      </c>
      <c r="BI334">
        <f t="shared" ref="BI334:BI373" si="171">AJ334/BI$2</f>
        <v>0</v>
      </c>
      <c r="BJ334">
        <f t="shared" ref="BJ334:BJ373" si="172">AK334/BJ$2</f>
        <v>0</v>
      </c>
      <c r="BK334">
        <f t="shared" ref="BK334:BK373" si="173">AL334/BK$2</f>
        <v>0</v>
      </c>
      <c r="BL334">
        <f t="shared" ref="BL334:BL373" si="174">AM334/BL$2</f>
        <v>0</v>
      </c>
      <c r="BM334">
        <f t="shared" ref="BM334:BM373" si="175">AN334/BM$2</f>
        <v>0</v>
      </c>
      <c r="BN334">
        <f t="shared" ref="BN334:BN373" si="176">AO334/BN$2</f>
        <v>0</v>
      </c>
      <c r="BO334">
        <f t="shared" ref="BO334:BO373" si="177">AP334/BO$2</f>
        <v>0</v>
      </c>
      <c r="BP334">
        <f t="shared" ref="BP334:BP373" si="178">AQ334/BP$2</f>
        <v>0</v>
      </c>
      <c r="BQ334">
        <f t="shared" ref="BQ334:BQ373" si="179">AR334/BQ$2</f>
        <v>0</v>
      </c>
      <c r="BR334">
        <f t="shared" ref="BR334:BR373" si="180">AS334/BR$2</f>
        <v>0</v>
      </c>
      <c r="BS334">
        <f t="shared" ref="BS334:BS373" si="181">AT334/BS$2</f>
        <v>0</v>
      </c>
      <c r="BT334">
        <f t="shared" ref="BT334:BT373" si="182">AU334/BT$2</f>
        <v>0</v>
      </c>
      <c r="BU334" t="e">
        <f t="shared" ref="BU334:BU373" si="183">BK334/BS334</f>
        <v>#DIV/0!</v>
      </c>
      <c r="BV334" t="e">
        <f t="shared" ref="BV334:BV373" si="184">BK334/BG334</f>
        <v>#DIV/0!</v>
      </c>
      <c r="BX334" t="e">
        <f t="shared" ref="BX334:BX373" si="185">BG334/BS334</f>
        <v>#DIV/0!</v>
      </c>
      <c r="CX334">
        <v>0</v>
      </c>
    </row>
    <row r="335" spans="1:109">
      <c r="BG335">
        <f t="shared" si="169"/>
        <v>0</v>
      </c>
      <c r="BH335">
        <f t="shared" si="170"/>
        <v>0</v>
      </c>
      <c r="BI335">
        <f t="shared" si="171"/>
        <v>0</v>
      </c>
      <c r="BJ335">
        <f t="shared" si="172"/>
        <v>0</v>
      </c>
      <c r="BK335">
        <f t="shared" si="173"/>
        <v>0</v>
      </c>
      <c r="BL335">
        <f t="shared" si="174"/>
        <v>0</v>
      </c>
      <c r="BM335">
        <f t="shared" si="175"/>
        <v>0</v>
      </c>
      <c r="BN335">
        <f t="shared" si="176"/>
        <v>0</v>
      </c>
      <c r="BO335">
        <f t="shared" si="177"/>
        <v>0</v>
      </c>
      <c r="BP335">
        <f t="shared" si="178"/>
        <v>0</v>
      </c>
      <c r="BQ335">
        <f t="shared" si="179"/>
        <v>0</v>
      </c>
      <c r="BR335">
        <f t="shared" si="180"/>
        <v>0</v>
      </c>
      <c r="BS335">
        <f t="shared" si="181"/>
        <v>0</v>
      </c>
      <c r="BT335">
        <f t="shared" si="182"/>
        <v>0</v>
      </c>
      <c r="BU335" t="e">
        <f t="shared" si="183"/>
        <v>#DIV/0!</v>
      </c>
      <c r="BV335" t="e">
        <f t="shared" si="184"/>
        <v>#DIV/0!</v>
      </c>
      <c r="BX335" t="e">
        <f t="shared" si="185"/>
        <v>#DIV/0!</v>
      </c>
      <c r="CX335">
        <v>0</v>
      </c>
    </row>
    <row r="336" spans="1:109">
      <c r="BG336">
        <f t="shared" si="169"/>
        <v>0</v>
      </c>
      <c r="BH336">
        <f t="shared" si="170"/>
        <v>0</v>
      </c>
      <c r="BI336">
        <f t="shared" si="171"/>
        <v>0</v>
      </c>
      <c r="BJ336">
        <f t="shared" si="172"/>
        <v>0</v>
      </c>
      <c r="BK336">
        <f t="shared" si="173"/>
        <v>0</v>
      </c>
      <c r="BL336">
        <f t="shared" si="174"/>
        <v>0</v>
      </c>
      <c r="BM336">
        <f t="shared" si="175"/>
        <v>0</v>
      </c>
      <c r="BN336">
        <f t="shared" si="176"/>
        <v>0</v>
      </c>
      <c r="BO336">
        <f t="shared" si="177"/>
        <v>0</v>
      </c>
      <c r="BP336">
        <f t="shared" si="178"/>
        <v>0</v>
      </c>
      <c r="BQ336">
        <f t="shared" si="179"/>
        <v>0</v>
      </c>
      <c r="BR336">
        <f t="shared" si="180"/>
        <v>0</v>
      </c>
      <c r="BS336">
        <f t="shared" si="181"/>
        <v>0</v>
      </c>
      <c r="BT336">
        <f t="shared" si="182"/>
        <v>0</v>
      </c>
      <c r="BU336" t="e">
        <f t="shared" si="183"/>
        <v>#DIV/0!</v>
      </c>
      <c r="BV336" t="e">
        <f t="shared" si="184"/>
        <v>#DIV/0!</v>
      </c>
      <c r="BX336" t="e">
        <f t="shared" si="185"/>
        <v>#DIV/0!</v>
      </c>
      <c r="CX336">
        <v>0</v>
      </c>
    </row>
    <row r="337" spans="59:102">
      <c r="BG337">
        <f t="shared" si="169"/>
        <v>0</v>
      </c>
      <c r="BH337">
        <f t="shared" si="170"/>
        <v>0</v>
      </c>
      <c r="BI337">
        <f t="shared" si="171"/>
        <v>0</v>
      </c>
      <c r="BJ337">
        <f t="shared" si="172"/>
        <v>0</v>
      </c>
      <c r="BK337">
        <f t="shared" si="173"/>
        <v>0</v>
      </c>
      <c r="BL337">
        <f t="shared" si="174"/>
        <v>0</v>
      </c>
      <c r="BM337">
        <f t="shared" si="175"/>
        <v>0</v>
      </c>
      <c r="BN337">
        <f t="shared" si="176"/>
        <v>0</v>
      </c>
      <c r="BO337">
        <f t="shared" si="177"/>
        <v>0</v>
      </c>
      <c r="BP337">
        <f t="shared" si="178"/>
        <v>0</v>
      </c>
      <c r="BQ337">
        <f t="shared" si="179"/>
        <v>0</v>
      </c>
      <c r="BR337">
        <f t="shared" si="180"/>
        <v>0</v>
      </c>
      <c r="BS337">
        <f t="shared" si="181"/>
        <v>0</v>
      </c>
      <c r="BT337">
        <f t="shared" si="182"/>
        <v>0</v>
      </c>
      <c r="BU337" t="e">
        <f t="shared" si="183"/>
        <v>#DIV/0!</v>
      </c>
      <c r="BV337" t="e">
        <f t="shared" si="184"/>
        <v>#DIV/0!</v>
      </c>
      <c r="BX337" t="e">
        <f t="shared" si="185"/>
        <v>#DIV/0!</v>
      </c>
      <c r="CX337">
        <v>0</v>
      </c>
    </row>
    <row r="338" spans="59:102">
      <c r="BG338">
        <f t="shared" si="169"/>
        <v>0</v>
      </c>
      <c r="BH338">
        <f t="shared" si="170"/>
        <v>0</v>
      </c>
      <c r="BI338">
        <f t="shared" si="171"/>
        <v>0</v>
      </c>
      <c r="BJ338">
        <f t="shared" si="172"/>
        <v>0</v>
      </c>
      <c r="BK338">
        <f t="shared" si="173"/>
        <v>0</v>
      </c>
      <c r="BL338">
        <f t="shared" si="174"/>
        <v>0</v>
      </c>
      <c r="BM338">
        <f t="shared" si="175"/>
        <v>0</v>
      </c>
      <c r="BN338">
        <f t="shared" si="176"/>
        <v>0</v>
      </c>
      <c r="BO338">
        <f t="shared" si="177"/>
        <v>0</v>
      </c>
      <c r="BP338">
        <f t="shared" si="178"/>
        <v>0</v>
      </c>
      <c r="BQ338">
        <f t="shared" si="179"/>
        <v>0</v>
      </c>
      <c r="BR338">
        <f t="shared" si="180"/>
        <v>0</v>
      </c>
      <c r="BS338">
        <f t="shared" si="181"/>
        <v>0</v>
      </c>
      <c r="BT338">
        <f t="shared" si="182"/>
        <v>0</v>
      </c>
      <c r="BU338" t="e">
        <f t="shared" si="183"/>
        <v>#DIV/0!</v>
      </c>
      <c r="BV338" t="e">
        <f t="shared" si="184"/>
        <v>#DIV/0!</v>
      </c>
      <c r="BX338" t="e">
        <f t="shared" si="185"/>
        <v>#DIV/0!</v>
      </c>
      <c r="CX338">
        <v>0</v>
      </c>
    </row>
    <row r="339" spans="59:102">
      <c r="BG339">
        <f t="shared" si="169"/>
        <v>0</v>
      </c>
      <c r="BH339">
        <f t="shared" si="170"/>
        <v>0</v>
      </c>
      <c r="BI339">
        <f t="shared" si="171"/>
        <v>0</v>
      </c>
      <c r="BJ339">
        <f t="shared" si="172"/>
        <v>0</v>
      </c>
      <c r="BK339">
        <f t="shared" si="173"/>
        <v>0</v>
      </c>
      <c r="BL339">
        <f t="shared" si="174"/>
        <v>0</v>
      </c>
      <c r="BM339">
        <f t="shared" si="175"/>
        <v>0</v>
      </c>
      <c r="BN339">
        <f t="shared" si="176"/>
        <v>0</v>
      </c>
      <c r="BO339">
        <f t="shared" si="177"/>
        <v>0</v>
      </c>
      <c r="BP339">
        <f t="shared" si="178"/>
        <v>0</v>
      </c>
      <c r="BQ339">
        <f t="shared" si="179"/>
        <v>0</v>
      </c>
      <c r="BR339">
        <f t="shared" si="180"/>
        <v>0</v>
      </c>
      <c r="BS339">
        <f t="shared" si="181"/>
        <v>0</v>
      </c>
      <c r="BT339">
        <f t="shared" si="182"/>
        <v>0</v>
      </c>
      <c r="BU339" t="e">
        <f t="shared" si="183"/>
        <v>#DIV/0!</v>
      </c>
      <c r="BV339" t="e">
        <f t="shared" si="184"/>
        <v>#DIV/0!</v>
      </c>
      <c r="BX339" t="e">
        <f t="shared" si="185"/>
        <v>#DIV/0!</v>
      </c>
      <c r="CX339">
        <v>0</v>
      </c>
    </row>
    <row r="340" spans="59:102">
      <c r="BG340">
        <f t="shared" si="169"/>
        <v>0</v>
      </c>
      <c r="BH340">
        <f t="shared" si="170"/>
        <v>0</v>
      </c>
      <c r="BI340">
        <f t="shared" si="171"/>
        <v>0</v>
      </c>
      <c r="BJ340">
        <f t="shared" si="172"/>
        <v>0</v>
      </c>
      <c r="BK340">
        <f t="shared" si="173"/>
        <v>0</v>
      </c>
      <c r="BL340">
        <f t="shared" si="174"/>
        <v>0</v>
      </c>
      <c r="BM340">
        <f t="shared" si="175"/>
        <v>0</v>
      </c>
      <c r="BN340">
        <f t="shared" si="176"/>
        <v>0</v>
      </c>
      <c r="BO340">
        <f t="shared" si="177"/>
        <v>0</v>
      </c>
      <c r="BP340">
        <f t="shared" si="178"/>
        <v>0</v>
      </c>
      <c r="BQ340">
        <f t="shared" si="179"/>
        <v>0</v>
      </c>
      <c r="BR340">
        <f t="shared" si="180"/>
        <v>0</v>
      </c>
      <c r="BS340">
        <f t="shared" si="181"/>
        <v>0</v>
      </c>
      <c r="BT340">
        <f t="shared" si="182"/>
        <v>0</v>
      </c>
      <c r="BU340" t="e">
        <f t="shared" si="183"/>
        <v>#DIV/0!</v>
      </c>
      <c r="BV340" t="e">
        <f t="shared" si="184"/>
        <v>#DIV/0!</v>
      </c>
      <c r="BX340" t="e">
        <f t="shared" si="185"/>
        <v>#DIV/0!</v>
      </c>
      <c r="CX340">
        <v>0</v>
      </c>
    </row>
    <row r="341" spans="59:102">
      <c r="BG341">
        <f t="shared" si="169"/>
        <v>0</v>
      </c>
      <c r="BH341">
        <f t="shared" si="170"/>
        <v>0</v>
      </c>
      <c r="BI341">
        <f t="shared" si="171"/>
        <v>0</v>
      </c>
      <c r="BJ341">
        <f t="shared" si="172"/>
        <v>0</v>
      </c>
      <c r="BK341">
        <f t="shared" si="173"/>
        <v>0</v>
      </c>
      <c r="BL341">
        <f t="shared" si="174"/>
        <v>0</v>
      </c>
      <c r="BM341">
        <f t="shared" si="175"/>
        <v>0</v>
      </c>
      <c r="BN341">
        <f t="shared" si="176"/>
        <v>0</v>
      </c>
      <c r="BO341">
        <f t="shared" si="177"/>
        <v>0</v>
      </c>
      <c r="BP341">
        <f t="shared" si="178"/>
        <v>0</v>
      </c>
      <c r="BQ341">
        <f t="shared" si="179"/>
        <v>0</v>
      </c>
      <c r="BR341">
        <f t="shared" si="180"/>
        <v>0</v>
      </c>
      <c r="BS341">
        <f t="shared" si="181"/>
        <v>0</v>
      </c>
      <c r="BT341">
        <f t="shared" si="182"/>
        <v>0</v>
      </c>
      <c r="BU341" t="e">
        <f t="shared" si="183"/>
        <v>#DIV/0!</v>
      </c>
      <c r="BV341" t="e">
        <f t="shared" si="184"/>
        <v>#DIV/0!</v>
      </c>
      <c r="BX341" t="e">
        <f t="shared" si="185"/>
        <v>#DIV/0!</v>
      </c>
      <c r="CX341">
        <v>0</v>
      </c>
    </row>
    <row r="342" spans="59:102">
      <c r="BG342">
        <f t="shared" si="169"/>
        <v>0</v>
      </c>
      <c r="BH342">
        <f t="shared" si="170"/>
        <v>0</v>
      </c>
      <c r="BI342">
        <f t="shared" si="171"/>
        <v>0</v>
      </c>
      <c r="BJ342">
        <f t="shared" si="172"/>
        <v>0</v>
      </c>
      <c r="BK342">
        <f t="shared" si="173"/>
        <v>0</v>
      </c>
      <c r="BL342">
        <f t="shared" si="174"/>
        <v>0</v>
      </c>
      <c r="BM342">
        <f t="shared" si="175"/>
        <v>0</v>
      </c>
      <c r="BN342">
        <f t="shared" si="176"/>
        <v>0</v>
      </c>
      <c r="BO342">
        <f t="shared" si="177"/>
        <v>0</v>
      </c>
      <c r="BP342">
        <f t="shared" si="178"/>
        <v>0</v>
      </c>
      <c r="BQ342">
        <f t="shared" si="179"/>
        <v>0</v>
      </c>
      <c r="BR342">
        <f t="shared" si="180"/>
        <v>0</v>
      </c>
      <c r="BS342">
        <f t="shared" si="181"/>
        <v>0</v>
      </c>
      <c r="BT342">
        <f t="shared" si="182"/>
        <v>0</v>
      </c>
      <c r="BU342" t="e">
        <f t="shared" si="183"/>
        <v>#DIV/0!</v>
      </c>
      <c r="BV342" t="e">
        <f t="shared" si="184"/>
        <v>#DIV/0!</v>
      </c>
      <c r="BX342" t="e">
        <f t="shared" si="185"/>
        <v>#DIV/0!</v>
      </c>
      <c r="CX342">
        <v>0</v>
      </c>
    </row>
    <row r="343" spans="59:102">
      <c r="BG343">
        <f t="shared" si="169"/>
        <v>0</v>
      </c>
      <c r="BH343">
        <f t="shared" si="170"/>
        <v>0</v>
      </c>
      <c r="BI343">
        <f t="shared" si="171"/>
        <v>0</v>
      </c>
      <c r="BJ343">
        <f t="shared" si="172"/>
        <v>0</v>
      </c>
      <c r="BK343">
        <f t="shared" si="173"/>
        <v>0</v>
      </c>
      <c r="BL343">
        <f t="shared" si="174"/>
        <v>0</v>
      </c>
      <c r="BM343">
        <f t="shared" si="175"/>
        <v>0</v>
      </c>
      <c r="BN343">
        <f t="shared" si="176"/>
        <v>0</v>
      </c>
      <c r="BO343">
        <f t="shared" si="177"/>
        <v>0</v>
      </c>
      <c r="BP343">
        <f t="shared" si="178"/>
        <v>0</v>
      </c>
      <c r="BQ343">
        <f t="shared" si="179"/>
        <v>0</v>
      </c>
      <c r="BR343">
        <f t="shared" si="180"/>
        <v>0</v>
      </c>
      <c r="BS343">
        <f t="shared" si="181"/>
        <v>0</v>
      </c>
      <c r="BT343">
        <f t="shared" si="182"/>
        <v>0</v>
      </c>
      <c r="BU343" t="e">
        <f t="shared" si="183"/>
        <v>#DIV/0!</v>
      </c>
      <c r="BV343" t="e">
        <f t="shared" si="184"/>
        <v>#DIV/0!</v>
      </c>
      <c r="BX343" t="e">
        <f t="shared" si="185"/>
        <v>#DIV/0!</v>
      </c>
      <c r="CX343">
        <v>0</v>
      </c>
    </row>
    <row r="344" spans="59:102">
      <c r="BG344">
        <f t="shared" si="169"/>
        <v>0</v>
      </c>
      <c r="BH344">
        <f t="shared" si="170"/>
        <v>0</v>
      </c>
      <c r="BI344">
        <f t="shared" si="171"/>
        <v>0</v>
      </c>
      <c r="BJ344">
        <f t="shared" si="172"/>
        <v>0</v>
      </c>
      <c r="BK344">
        <f t="shared" si="173"/>
        <v>0</v>
      </c>
      <c r="BL344">
        <f t="shared" si="174"/>
        <v>0</v>
      </c>
      <c r="BM344">
        <f t="shared" si="175"/>
        <v>0</v>
      </c>
      <c r="BN344">
        <f t="shared" si="176"/>
        <v>0</v>
      </c>
      <c r="BO344">
        <f t="shared" si="177"/>
        <v>0</v>
      </c>
      <c r="BP344">
        <f t="shared" si="178"/>
        <v>0</v>
      </c>
      <c r="BQ344">
        <f t="shared" si="179"/>
        <v>0</v>
      </c>
      <c r="BR344">
        <f t="shared" si="180"/>
        <v>0</v>
      </c>
      <c r="BS344">
        <f t="shared" si="181"/>
        <v>0</v>
      </c>
      <c r="BT344">
        <f t="shared" si="182"/>
        <v>0</v>
      </c>
      <c r="BU344" t="e">
        <f t="shared" si="183"/>
        <v>#DIV/0!</v>
      </c>
      <c r="BV344" t="e">
        <f t="shared" si="184"/>
        <v>#DIV/0!</v>
      </c>
      <c r="BX344" t="e">
        <f t="shared" si="185"/>
        <v>#DIV/0!</v>
      </c>
      <c r="CX344">
        <v>0</v>
      </c>
    </row>
    <row r="345" spans="59:102">
      <c r="BG345">
        <f t="shared" si="169"/>
        <v>0</v>
      </c>
      <c r="BH345">
        <f t="shared" si="170"/>
        <v>0</v>
      </c>
      <c r="BI345">
        <f t="shared" si="171"/>
        <v>0</v>
      </c>
      <c r="BJ345">
        <f t="shared" si="172"/>
        <v>0</v>
      </c>
      <c r="BK345">
        <f t="shared" si="173"/>
        <v>0</v>
      </c>
      <c r="BL345">
        <f t="shared" si="174"/>
        <v>0</v>
      </c>
      <c r="BM345">
        <f t="shared" si="175"/>
        <v>0</v>
      </c>
      <c r="BN345">
        <f t="shared" si="176"/>
        <v>0</v>
      </c>
      <c r="BO345">
        <f t="shared" si="177"/>
        <v>0</v>
      </c>
      <c r="BP345">
        <f t="shared" si="178"/>
        <v>0</v>
      </c>
      <c r="BQ345">
        <f t="shared" si="179"/>
        <v>0</v>
      </c>
      <c r="BR345">
        <f t="shared" si="180"/>
        <v>0</v>
      </c>
      <c r="BS345">
        <f t="shared" si="181"/>
        <v>0</v>
      </c>
      <c r="BT345">
        <f t="shared" si="182"/>
        <v>0</v>
      </c>
      <c r="BU345" t="e">
        <f t="shared" si="183"/>
        <v>#DIV/0!</v>
      </c>
      <c r="BV345" t="e">
        <f t="shared" si="184"/>
        <v>#DIV/0!</v>
      </c>
      <c r="BX345" t="e">
        <f t="shared" si="185"/>
        <v>#DIV/0!</v>
      </c>
      <c r="CX345">
        <v>0</v>
      </c>
    </row>
    <row r="346" spans="59:102">
      <c r="BG346">
        <f t="shared" si="169"/>
        <v>0</v>
      </c>
      <c r="BH346">
        <f t="shared" si="170"/>
        <v>0</v>
      </c>
      <c r="BI346">
        <f t="shared" si="171"/>
        <v>0</v>
      </c>
      <c r="BJ346">
        <f t="shared" si="172"/>
        <v>0</v>
      </c>
      <c r="BK346">
        <f t="shared" si="173"/>
        <v>0</v>
      </c>
      <c r="BL346">
        <f t="shared" si="174"/>
        <v>0</v>
      </c>
      <c r="BM346">
        <f t="shared" si="175"/>
        <v>0</v>
      </c>
      <c r="BN346">
        <f t="shared" si="176"/>
        <v>0</v>
      </c>
      <c r="BO346">
        <f t="shared" si="177"/>
        <v>0</v>
      </c>
      <c r="BP346">
        <f t="shared" si="178"/>
        <v>0</v>
      </c>
      <c r="BQ346">
        <f t="shared" si="179"/>
        <v>0</v>
      </c>
      <c r="BR346">
        <f t="shared" si="180"/>
        <v>0</v>
      </c>
      <c r="BS346">
        <f t="shared" si="181"/>
        <v>0</v>
      </c>
      <c r="BT346">
        <f t="shared" si="182"/>
        <v>0</v>
      </c>
      <c r="BU346" t="e">
        <f t="shared" si="183"/>
        <v>#DIV/0!</v>
      </c>
      <c r="BV346" t="e">
        <f t="shared" si="184"/>
        <v>#DIV/0!</v>
      </c>
      <c r="BX346" t="e">
        <f t="shared" si="185"/>
        <v>#DIV/0!</v>
      </c>
      <c r="CX346">
        <v>0</v>
      </c>
    </row>
    <row r="347" spans="59:102">
      <c r="BG347">
        <f t="shared" si="169"/>
        <v>0</v>
      </c>
      <c r="BH347">
        <f t="shared" si="170"/>
        <v>0</v>
      </c>
      <c r="BI347">
        <f t="shared" si="171"/>
        <v>0</v>
      </c>
      <c r="BJ347">
        <f t="shared" si="172"/>
        <v>0</v>
      </c>
      <c r="BK347">
        <f t="shared" si="173"/>
        <v>0</v>
      </c>
      <c r="BL347">
        <f t="shared" si="174"/>
        <v>0</v>
      </c>
      <c r="BM347">
        <f t="shared" si="175"/>
        <v>0</v>
      </c>
      <c r="BN347">
        <f t="shared" si="176"/>
        <v>0</v>
      </c>
      <c r="BO347">
        <f t="shared" si="177"/>
        <v>0</v>
      </c>
      <c r="BP347">
        <f t="shared" si="178"/>
        <v>0</v>
      </c>
      <c r="BQ347">
        <f t="shared" si="179"/>
        <v>0</v>
      </c>
      <c r="BR347">
        <f t="shared" si="180"/>
        <v>0</v>
      </c>
      <c r="BS347">
        <f t="shared" si="181"/>
        <v>0</v>
      </c>
      <c r="BT347">
        <f t="shared" si="182"/>
        <v>0</v>
      </c>
      <c r="BU347" t="e">
        <f t="shared" si="183"/>
        <v>#DIV/0!</v>
      </c>
      <c r="BV347" t="e">
        <f t="shared" si="184"/>
        <v>#DIV/0!</v>
      </c>
      <c r="BX347" t="e">
        <f t="shared" si="185"/>
        <v>#DIV/0!</v>
      </c>
      <c r="CX347">
        <v>0</v>
      </c>
    </row>
    <row r="348" spans="59:102">
      <c r="BG348">
        <f t="shared" si="169"/>
        <v>0</v>
      </c>
      <c r="BH348">
        <f t="shared" si="170"/>
        <v>0</v>
      </c>
      <c r="BI348">
        <f t="shared" si="171"/>
        <v>0</v>
      </c>
      <c r="BJ348">
        <f t="shared" si="172"/>
        <v>0</v>
      </c>
      <c r="BK348">
        <f t="shared" si="173"/>
        <v>0</v>
      </c>
      <c r="BL348">
        <f t="shared" si="174"/>
        <v>0</v>
      </c>
      <c r="BM348">
        <f t="shared" si="175"/>
        <v>0</v>
      </c>
      <c r="BN348">
        <f t="shared" si="176"/>
        <v>0</v>
      </c>
      <c r="BO348">
        <f t="shared" si="177"/>
        <v>0</v>
      </c>
      <c r="BP348">
        <f t="shared" si="178"/>
        <v>0</v>
      </c>
      <c r="BQ348">
        <f t="shared" si="179"/>
        <v>0</v>
      </c>
      <c r="BR348">
        <f t="shared" si="180"/>
        <v>0</v>
      </c>
      <c r="BS348">
        <f t="shared" si="181"/>
        <v>0</v>
      </c>
      <c r="BT348">
        <f t="shared" si="182"/>
        <v>0</v>
      </c>
      <c r="BU348" t="e">
        <f t="shared" si="183"/>
        <v>#DIV/0!</v>
      </c>
      <c r="BV348" t="e">
        <f t="shared" si="184"/>
        <v>#DIV/0!</v>
      </c>
      <c r="BX348" t="e">
        <f t="shared" si="185"/>
        <v>#DIV/0!</v>
      </c>
      <c r="CX348">
        <v>0</v>
      </c>
    </row>
    <row r="349" spans="59:102">
      <c r="BG349">
        <f t="shared" si="169"/>
        <v>0</v>
      </c>
      <c r="BH349">
        <f t="shared" si="170"/>
        <v>0</v>
      </c>
      <c r="BI349">
        <f t="shared" si="171"/>
        <v>0</v>
      </c>
      <c r="BJ349">
        <f t="shared" si="172"/>
        <v>0</v>
      </c>
      <c r="BK349">
        <f t="shared" si="173"/>
        <v>0</v>
      </c>
      <c r="BL349">
        <f t="shared" si="174"/>
        <v>0</v>
      </c>
      <c r="BM349">
        <f t="shared" si="175"/>
        <v>0</v>
      </c>
      <c r="BN349">
        <f t="shared" si="176"/>
        <v>0</v>
      </c>
      <c r="BO349">
        <f t="shared" si="177"/>
        <v>0</v>
      </c>
      <c r="BP349">
        <f t="shared" si="178"/>
        <v>0</v>
      </c>
      <c r="BQ349">
        <f t="shared" si="179"/>
        <v>0</v>
      </c>
      <c r="BR349">
        <f t="shared" si="180"/>
        <v>0</v>
      </c>
      <c r="BS349">
        <f t="shared" si="181"/>
        <v>0</v>
      </c>
      <c r="BT349">
        <f t="shared" si="182"/>
        <v>0</v>
      </c>
      <c r="BU349" t="e">
        <f t="shared" si="183"/>
        <v>#DIV/0!</v>
      </c>
      <c r="BV349" t="e">
        <f t="shared" si="184"/>
        <v>#DIV/0!</v>
      </c>
      <c r="BX349" t="e">
        <f t="shared" si="185"/>
        <v>#DIV/0!</v>
      </c>
      <c r="CX349">
        <v>0</v>
      </c>
    </row>
    <row r="350" spans="59:102">
      <c r="BG350">
        <f t="shared" si="169"/>
        <v>0</v>
      </c>
      <c r="BH350">
        <f t="shared" si="170"/>
        <v>0</v>
      </c>
      <c r="BI350">
        <f t="shared" si="171"/>
        <v>0</v>
      </c>
      <c r="BJ350">
        <f t="shared" si="172"/>
        <v>0</v>
      </c>
      <c r="BK350">
        <f t="shared" si="173"/>
        <v>0</v>
      </c>
      <c r="BL350">
        <f t="shared" si="174"/>
        <v>0</v>
      </c>
      <c r="BM350">
        <f t="shared" si="175"/>
        <v>0</v>
      </c>
      <c r="BN350">
        <f t="shared" si="176"/>
        <v>0</v>
      </c>
      <c r="BO350">
        <f t="shared" si="177"/>
        <v>0</v>
      </c>
      <c r="BP350">
        <f t="shared" si="178"/>
        <v>0</v>
      </c>
      <c r="BQ350">
        <f t="shared" si="179"/>
        <v>0</v>
      </c>
      <c r="BR350">
        <f t="shared" si="180"/>
        <v>0</v>
      </c>
      <c r="BS350">
        <f t="shared" si="181"/>
        <v>0</v>
      </c>
      <c r="BT350">
        <f t="shared" si="182"/>
        <v>0</v>
      </c>
      <c r="BU350" t="e">
        <f t="shared" si="183"/>
        <v>#DIV/0!</v>
      </c>
      <c r="BV350" t="e">
        <f t="shared" si="184"/>
        <v>#DIV/0!</v>
      </c>
      <c r="BX350" t="e">
        <f t="shared" si="185"/>
        <v>#DIV/0!</v>
      </c>
      <c r="CX350">
        <v>0</v>
      </c>
    </row>
    <row r="351" spans="59:102">
      <c r="BG351">
        <f t="shared" si="169"/>
        <v>0</v>
      </c>
      <c r="BH351">
        <f t="shared" si="170"/>
        <v>0</v>
      </c>
      <c r="BI351">
        <f t="shared" si="171"/>
        <v>0</v>
      </c>
      <c r="BJ351">
        <f t="shared" si="172"/>
        <v>0</v>
      </c>
      <c r="BK351">
        <f t="shared" si="173"/>
        <v>0</v>
      </c>
      <c r="BL351">
        <f t="shared" si="174"/>
        <v>0</v>
      </c>
      <c r="BM351">
        <f t="shared" si="175"/>
        <v>0</v>
      </c>
      <c r="BN351">
        <f t="shared" si="176"/>
        <v>0</v>
      </c>
      <c r="BO351">
        <f t="shared" si="177"/>
        <v>0</v>
      </c>
      <c r="BP351">
        <f t="shared" si="178"/>
        <v>0</v>
      </c>
      <c r="BQ351">
        <f t="shared" si="179"/>
        <v>0</v>
      </c>
      <c r="BR351">
        <f t="shared" si="180"/>
        <v>0</v>
      </c>
      <c r="BS351">
        <f t="shared" si="181"/>
        <v>0</v>
      </c>
      <c r="BT351">
        <f t="shared" si="182"/>
        <v>0</v>
      </c>
      <c r="BU351" t="e">
        <f t="shared" si="183"/>
        <v>#DIV/0!</v>
      </c>
      <c r="BV351" t="e">
        <f t="shared" si="184"/>
        <v>#DIV/0!</v>
      </c>
      <c r="BX351" t="e">
        <f t="shared" si="185"/>
        <v>#DIV/0!</v>
      </c>
      <c r="CX351">
        <v>0</v>
      </c>
    </row>
    <row r="352" spans="59:102">
      <c r="BG352">
        <f t="shared" si="169"/>
        <v>0</v>
      </c>
      <c r="BH352">
        <f t="shared" si="170"/>
        <v>0</v>
      </c>
      <c r="BI352">
        <f t="shared" si="171"/>
        <v>0</v>
      </c>
      <c r="BJ352">
        <f t="shared" si="172"/>
        <v>0</v>
      </c>
      <c r="BK352">
        <f t="shared" si="173"/>
        <v>0</v>
      </c>
      <c r="BL352">
        <f t="shared" si="174"/>
        <v>0</v>
      </c>
      <c r="BM352">
        <f t="shared" si="175"/>
        <v>0</v>
      </c>
      <c r="BN352">
        <f t="shared" si="176"/>
        <v>0</v>
      </c>
      <c r="BO352">
        <f t="shared" si="177"/>
        <v>0</v>
      </c>
      <c r="BP352">
        <f t="shared" si="178"/>
        <v>0</v>
      </c>
      <c r="BQ352">
        <f t="shared" si="179"/>
        <v>0</v>
      </c>
      <c r="BR352">
        <f t="shared" si="180"/>
        <v>0</v>
      </c>
      <c r="BS352">
        <f t="shared" si="181"/>
        <v>0</v>
      </c>
      <c r="BT352">
        <f t="shared" si="182"/>
        <v>0</v>
      </c>
      <c r="BU352" t="e">
        <f t="shared" si="183"/>
        <v>#DIV/0!</v>
      </c>
      <c r="BV352" t="e">
        <f t="shared" si="184"/>
        <v>#DIV/0!</v>
      </c>
      <c r="BX352" t="e">
        <f t="shared" si="185"/>
        <v>#DIV/0!</v>
      </c>
      <c r="CX352">
        <v>0</v>
      </c>
    </row>
    <row r="353" spans="59:102">
      <c r="BG353">
        <f t="shared" si="169"/>
        <v>0</v>
      </c>
      <c r="BH353">
        <f t="shared" si="170"/>
        <v>0</v>
      </c>
      <c r="BI353">
        <f t="shared" si="171"/>
        <v>0</v>
      </c>
      <c r="BJ353">
        <f t="shared" si="172"/>
        <v>0</v>
      </c>
      <c r="BK353">
        <f t="shared" si="173"/>
        <v>0</v>
      </c>
      <c r="BL353">
        <f t="shared" si="174"/>
        <v>0</v>
      </c>
      <c r="BM353">
        <f t="shared" si="175"/>
        <v>0</v>
      </c>
      <c r="BN353">
        <f t="shared" si="176"/>
        <v>0</v>
      </c>
      <c r="BO353">
        <f t="shared" si="177"/>
        <v>0</v>
      </c>
      <c r="BP353">
        <f t="shared" si="178"/>
        <v>0</v>
      </c>
      <c r="BQ353">
        <f t="shared" si="179"/>
        <v>0</v>
      </c>
      <c r="BR353">
        <f t="shared" si="180"/>
        <v>0</v>
      </c>
      <c r="BS353">
        <f t="shared" si="181"/>
        <v>0</v>
      </c>
      <c r="BT353">
        <f t="shared" si="182"/>
        <v>0</v>
      </c>
      <c r="BU353" t="e">
        <f t="shared" si="183"/>
        <v>#DIV/0!</v>
      </c>
      <c r="BV353" t="e">
        <f t="shared" si="184"/>
        <v>#DIV/0!</v>
      </c>
      <c r="BX353" t="e">
        <f t="shared" si="185"/>
        <v>#DIV/0!</v>
      </c>
      <c r="CX353">
        <v>0</v>
      </c>
    </row>
    <row r="354" spans="59:102">
      <c r="BG354">
        <f t="shared" si="169"/>
        <v>0</v>
      </c>
      <c r="BH354">
        <f t="shared" si="170"/>
        <v>0</v>
      </c>
      <c r="BI354">
        <f t="shared" si="171"/>
        <v>0</v>
      </c>
      <c r="BJ354">
        <f t="shared" si="172"/>
        <v>0</v>
      </c>
      <c r="BK354">
        <f t="shared" si="173"/>
        <v>0</v>
      </c>
      <c r="BL354">
        <f t="shared" si="174"/>
        <v>0</v>
      </c>
      <c r="BM354">
        <f t="shared" si="175"/>
        <v>0</v>
      </c>
      <c r="BN354">
        <f t="shared" si="176"/>
        <v>0</v>
      </c>
      <c r="BO354">
        <f t="shared" si="177"/>
        <v>0</v>
      </c>
      <c r="BP354">
        <f t="shared" si="178"/>
        <v>0</v>
      </c>
      <c r="BQ354">
        <f t="shared" si="179"/>
        <v>0</v>
      </c>
      <c r="BR354">
        <f t="shared" si="180"/>
        <v>0</v>
      </c>
      <c r="BS354">
        <f t="shared" si="181"/>
        <v>0</v>
      </c>
      <c r="BT354">
        <f t="shared" si="182"/>
        <v>0</v>
      </c>
      <c r="BU354" t="e">
        <f t="shared" si="183"/>
        <v>#DIV/0!</v>
      </c>
      <c r="BV354" t="e">
        <f t="shared" si="184"/>
        <v>#DIV/0!</v>
      </c>
      <c r="BX354" t="e">
        <f t="shared" si="185"/>
        <v>#DIV/0!</v>
      </c>
      <c r="CX354">
        <v>0</v>
      </c>
    </row>
    <row r="355" spans="59:102">
      <c r="BG355">
        <f t="shared" si="169"/>
        <v>0</v>
      </c>
      <c r="BH355">
        <f t="shared" si="170"/>
        <v>0</v>
      </c>
      <c r="BI355">
        <f t="shared" si="171"/>
        <v>0</v>
      </c>
      <c r="BJ355">
        <f t="shared" si="172"/>
        <v>0</v>
      </c>
      <c r="BK355">
        <f t="shared" si="173"/>
        <v>0</v>
      </c>
      <c r="BL355">
        <f t="shared" si="174"/>
        <v>0</v>
      </c>
      <c r="BM355">
        <f t="shared" si="175"/>
        <v>0</v>
      </c>
      <c r="BN355">
        <f t="shared" si="176"/>
        <v>0</v>
      </c>
      <c r="BO355">
        <f t="shared" si="177"/>
        <v>0</v>
      </c>
      <c r="BP355">
        <f t="shared" si="178"/>
        <v>0</v>
      </c>
      <c r="BQ355">
        <f t="shared" si="179"/>
        <v>0</v>
      </c>
      <c r="BR355">
        <f t="shared" si="180"/>
        <v>0</v>
      </c>
      <c r="BS355">
        <f t="shared" si="181"/>
        <v>0</v>
      </c>
      <c r="BT355">
        <f t="shared" si="182"/>
        <v>0</v>
      </c>
      <c r="BU355" t="e">
        <f t="shared" si="183"/>
        <v>#DIV/0!</v>
      </c>
      <c r="BV355" t="e">
        <f t="shared" si="184"/>
        <v>#DIV/0!</v>
      </c>
      <c r="BX355" t="e">
        <f t="shared" si="185"/>
        <v>#DIV/0!</v>
      </c>
      <c r="CX355">
        <v>0</v>
      </c>
    </row>
    <row r="356" spans="59:102">
      <c r="BG356">
        <f t="shared" si="169"/>
        <v>0</v>
      </c>
      <c r="BH356">
        <f t="shared" si="170"/>
        <v>0</v>
      </c>
      <c r="BI356">
        <f t="shared" si="171"/>
        <v>0</v>
      </c>
      <c r="BJ356">
        <f t="shared" si="172"/>
        <v>0</v>
      </c>
      <c r="BK356">
        <f t="shared" si="173"/>
        <v>0</v>
      </c>
      <c r="BL356">
        <f t="shared" si="174"/>
        <v>0</v>
      </c>
      <c r="BM356">
        <f t="shared" si="175"/>
        <v>0</v>
      </c>
      <c r="BN356">
        <f t="shared" si="176"/>
        <v>0</v>
      </c>
      <c r="BO356">
        <f t="shared" si="177"/>
        <v>0</v>
      </c>
      <c r="BP356">
        <f t="shared" si="178"/>
        <v>0</v>
      </c>
      <c r="BQ356">
        <f t="shared" si="179"/>
        <v>0</v>
      </c>
      <c r="BR356">
        <f t="shared" si="180"/>
        <v>0</v>
      </c>
      <c r="BS356">
        <f t="shared" si="181"/>
        <v>0</v>
      </c>
      <c r="BT356">
        <f t="shared" si="182"/>
        <v>0</v>
      </c>
      <c r="BU356" t="e">
        <f t="shared" si="183"/>
        <v>#DIV/0!</v>
      </c>
      <c r="BV356" t="e">
        <f t="shared" si="184"/>
        <v>#DIV/0!</v>
      </c>
      <c r="BX356" t="e">
        <f t="shared" si="185"/>
        <v>#DIV/0!</v>
      </c>
      <c r="CX356">
        <v>0</v>
      </c>
    </row>
    <row r="357" spans="59:102">
      <c r="BG357">
        <f t="shared" si="169"/>
        <v>0</v>
      </c>
      <c r="BH357">
        <f t="shared" si="170"/>
        <v>0</v>
      </c>
      <c r="BI357">
        <f t="shared" si="171"/>
        <v>0</v>
      </c>
      <c r="BJ357">
        <f t="shared" si="172"/>
        <v>0</v>
      </c>
      <c r="BK357">
        <f t="shared" si="173"/>
        <v>0</v>
      </c>
      <c r="BL357">
        <f t="shared" si="174"/>
        <v>0</v>
      </c>
      <c r="BM357">
        <f t="shared" si="175"/>
        <v>0</v>
      </c>
      <c r="BN357">
        <f t="shared" si="176"/>
        <v>0</v>
      </c>
      <c r="BO357">
        <f t="shared" si="177"/>
        <v>0</v>
      </c>
      <c r="BP357">
        <f t="shared" si="178"/>
        <v>0</v>
      </c>
      <c r="BQ357">
        <f t="shared" si="179"/>
        <v>0</v>
      </c>
      <c r="BR357">
        <f t="shared" si="180"/>
        <v>0</v>
      </c>
      <c r="BS357">
        <f t="shared" si="181"/>
        <v>0</v>
      </c>
      <c r="BT357">
        <f t="shared" si="182"/>
        <v>0</v>
      </c>
      <c r="BU357" t="e">
        <f t="shared" si="183"/>
        <v>#DIV/0!</v>
      </c>
      <c r="BV357" t="e">
        <f t="shared" si="184"/>
        <v>#DIV/0!</v>
      </c>
      <c r="BX357" t="e">
        <f t="shared" si="185"/>
        <v>#DIV/0!</v>
      </c>
      <c r="CX357">
        <v>0</v>
      </c>
    </row>
    <row r="358" spans="59:102">
      <c r="BG358">
        <f t="shared" si="169"/>
        <v>0</v>
      </c>
      <c r="BH358">
        <f t="shared" si="170"/>
        <v>0</v>
      </c>
      <c r="BI358">
        <f t="shared" si="171"/>
        <v>0</v>
      </c>
      <c r="BJ358">
        <f t="shared" si="172"/>
        <v>0</v>
      </c>
      <c r="BK358">
        <f t="shared" si="173"/>
        <v>0</v>
      </c>
      <c r="BL358">
        <f t="shared" si="174"/>
        <v>0</v>
      </c>
      <c r="BM358">
        <f t="shared" si="175"/>
        <v>0</v>
      </c>
      <c r="BN358">
        <f t="shared" si="176"/>
        <v>0</v>
      </c>
      <c r="BO358">
        <f t="shared" si="177"/>
        <v>0</v>
      </c>
      <c r="BP358">
        <f t="shared" si="178"/>
        <v>0</v>
      </c>
      <c r="BQ358">
        <f t="shared" si="179"/>
        <v>0</v>
      </c>
      <c r="BR358">
        <f t="shared" si="180"/>
        <v>0</v>
      </c>
      <c r="BS358">
        <f t="shared" si="181"/>
        <v>0</v>
      </c>
      <c r="BT358">
        <f t="shared" si="182"/>
        <v>0</v>
      </c>
      <c r="BU358" t="e">
        <f t="shared" si="183"/>
        <v>#DIV/0!</v>
      </c>
      <c r="BV358" t="e">
        <f t="shared" si="184"/>
        <v>#DIV/0!</v>
      </c>
      <c r="BX358" t="e">
        <f t="shared" si="185"/>
        <v>#DIV/0!</v>
      </c>
      <c r="CX358">
        <v>0</v>
      </c>
    </row>
    <row r="359" spans="59:102">
      <c r="BG359">
        <f t="shared" si="169"/>
        <v>0</v>
      </c>
      <c r="BH359">
        <f t="shared" si="170"/>
        <v>0</v>
      </c>
      <c r="BI359">
        <f t="shared" si="171"/>
        <v>0</v>
      </c>
      <c r="BJ359">
        <f t="shared" si="172"/>
        <v>0</v>
      </c>
      <c r="BK359">
        <f t="shared" si="173"/>
        <v>0</v>
      </c>
      <c r="BL359">
        <f t="shared" si="174"/>
        <v>0</v>
      </c>
      <c r="BM359">
        <f t="shared" si="175"/>
        <v>0</v>
      </c>
      <c r="BN359">
        <f t="shared" si="176"/>
        <v>0</v>
      </c>
      <c r="BO359">
        <f t="shared" si="177"/>
        <v>0</v>
      </c>
      <c r="BP359">
        <f t="shared" si="178"/>
        <v>0</v>
      </c>
      <c r="BQ359">
        <f t="shared" si="179"/>
        <v>0</v>
      </c>
      <c r="BR359">
        <f t="shared" si="180"/>
        <v>0</v>
      </c>
      <c r="BS359">
        <f t="shared" si="181"/>
        <v>0</v>
      </c>
      <c r="BT359">
        <f t="shared" si="182"/>
        <v>0</v>
      </c>
      <c r="BU359" t="e">
        <f t="shared" si="183"/>
        <v>#DIV/0!</v>
      </c>
      <c r="BV359" t="e">
        <f t="shared" si="184"/>
        <v>#DIV/0!</v>
      </c>
      <c r="BX359" t="e">
        <f t="shared" si="185"/>
        <v>#DIV/0!</v>
      </c>
      <c r="CX359">
        <v>0</v>
      </c>
    </row>
    <row r="360" spans="59:102">
      <c r="BG360">
        <f t="shared" si="169"/>
        <v>0</v>
      </c>
      <c r="BH360">
        <f t="shared" si="170"/>
        <v>0</v>
      </c>
      <c r="BI360">
        <f t="shared" si="171"/>
        <v>0</v>
      </c>
      <c r="BJ360">
        <f t="shared" si="172"/>
        <v>0</v>
      </c>
      <c r="BK360">
        <f t="shared" si="173"/>
        <v>0</v>
      </c>
      <c r="BL360">
        <f t="shared" si="174"/>
        <v>0</v>
      </c>
      <c r="BM360">
        <f t="shared" si="175"/>
        <v>0</v>
      </c>
      <c r="BN360">
        <f t="shared" si="176"/>
        <v>0</v>
      </c>
      <c r="BO360">
        <f t="shared" si="177"/>
        <v>0</v>
      </c>
      <c r="BP360">
        <f t="shared" si="178"/>
        <v>0</v>
      </c>
      <c r="BQ360">
        <f t="shared" si="179"/>
        <v>0</v>
      </c>
      <c r="BR360">
        <f t="shared" si="180"/>
        <v>0</v>
      </c>
      <c r="BS360">
        <f t="shared" si="181"/>
        <v>0</v>
      </c>
      <c r="BT360">
        <f t="shared" si="182"/>
        <v>0</v>
      </c>
      <c r="BU360" t="e">
        <f t="shared" si="183"/>
        <v>#DIV/0!</v>
      </c>
      <c r="BV360" t="e">
        <f t="shared" si="184"/>
        <v>#DIV/0!</v>
      </c>
      <c r="BX360" t="e">
        <f t="shared" si="185"/>
        <v>#DIV/0!</v>
      </c>
      <c r="CX360">
        <v>0</v>
      </c>
    </row>
    <row r="361" spans="59:102">
      <c r="BG361">
        <f t="shared" si="169"/>
        <v>0</v>
      </c>
      <c r="BH361">
        <f t="shared" si="170"/>
        <v>0</v>
      </c>
      <c r="BI361">
        <f t="shared" si="171"/>
        <v>0</v>
      </c>
      <c r="BJ361">
        <f t="shared" si="172"/>
        <v>0</v>
      </c>
      <c r="BK361">
        <f t="shared" si="173"/>
        <v>0</v>
      </c>
      <c r="BL361">
        <f t="shared" si="174"/>
        <v>0</v>
      </c>
      <c r="BM361">
        <f t="shared" si="175"/>
        <v>0</v>
      </c>
      <c r="BN361">
        <f t="shared" si="176"/>
        <v>0</v>
      </c>
      <c r="BO361">
        <f t="shared" si="177"/>
        <v>0</v>
      </c>
      <c r="BP361">
        <f t="shared" si="178"/>
        <v>0</v>
      </c>
      <c r="BQ361">
        <f t="shared" si="179"/>
        <v>0</v>
      </c>
      <c r="BR361">
        <f t="shared" si="180"/>
        <v>0</v>
      </c>
      <c r="BS361">
        <f t="shared" si="181"/>
        <v>0</v>
      </c>
      <c r="BT361">
        <f t="shared" si="182"/>
        <v>0</v>
      </c>
      <c r="BU361" t="e">
        <f t="shared" si="183"/>
        <v>#DIV/0!</v>
      </c>
      <c r="BV361" t="e">
        <f t="shared" si="184"/>
        <v>#DIV/0!</v>
      </c>
      <c r="BX361" t="e">
        <f t="shared" si="185"/>
        <v>#DIV/0!</v>
      </c>
      <c r="CX361">
        <v>0</v>
      </c>
    </row>
    <row r="362" spans="59:102">
      <c r="BG362">
        <f t="shared" si="169"/>
        <v>0</v>
      </c>
      <c r="BH362">
        <f t="shared" si="170"/>
        <v>0</v>
      </c>
      <c r="BI362">
        <f t="shared" si="171"/>
        <v>0</v>
      </c>
      <c r="BJ362">
        <f t="shared" si="172"/>
        <v>0</v>
      </c>
      <c r="BK362">
        <f t="shared" si="173"/>
        <v>0</v>
      </c>
      <c r="BL362">
        <f t="shared" si="174"/>
        <v>0</v>
      </c>
      <c r="BM362">
        <f t="shared" si="175"/>
        <v>0</v>
      </c>
      <c r="BN362">
        <f t="shared" si="176"/>
        <v>0</v>
      </c>
      <c r="BO362">
        <f t="shared" si="177"/>
        <v>0</v>
      </c>
      <c r="BP362">
        <f t="shared" si="178"/>
        <v>0</v>
      </c>
      <c r="BQ362">
        <f t="shared" si="179"/>
        <v>0</v>
      </c>
      <c r="BR362">
        <f t="shared" si="180"/>
        <v>0</v>
      </c>
      <c r="BS362">
        <f t="shared" si="181"/>
        <v>0</v>
      </c>
      <c r="BT362">
        <f t="shared" si="182"/>
        <v>0</v>
      </c>
      <c r="BU362" t="e">
        <f t="shared" si="183"/>
        <v>#DIV/0!</v>
      </c>
      <c r="BV362" t="e">
        <f t="shared" si="184"/>
        <v>#DIV/0!</v>
      </c>
      <c r="BX362" t="e">
        <f t="shared" si="185"/>
        <v>#DIV/0!</v>
      </c>
      <c r="CX362">
        <v>0</v>
      </c>
    </row>
    <row r="363" spans="59:102">
      <c r="BG363">
        <f t="shared" si="169"/>
        <v>0</v>
      </c>
      <c r="BH363">
        <f t="shared" si="170"/>
        <v>0</v>
      </c>
      <c r="BI363">
        <f t="shared" si="171"/>
        <v>0</v>
      </c>
      <c r="BJ363">
        <f t="shared" si="172"/>
        <v>0</v>
      </c>
      <c r="BK363">
        <f t="shared" si="173"/>
        <v>0</v>
      </c>
      <c r="BL363">
        <f t="shared" si="174"/>
        <v>0</v>
      </c>
      <c r="BM363">
        <f t="shared" si="175"/>
        <v>0</v>
      </c>
      <c r="BN363">
        <f t="shared" si="176"/>
        <v>0</v>
      </c>
      <c r="BO363">
        <f t="shared" si="177"/>
        <v>0</v>
      </c>
      <c r="BP363">
        <f t="shared" si="178"/>
        <v>0</v>
      </c>
      <c r="BQ363">
        <f t="shared" si="179"/>
        <v>0</v>
      </c>
      <c r="BR363">
        <f t="shared" si="180"/>
        <v>0</v>
      </c>
      <c r="BS363">
        <f t="shared" si="181"/>
        <v>0</v>
      </c>
      <c r="BT363">
        <f t="shared" si="182"/>
        <v>0</v>
      </c>
      <c r="BU363" t="e">
        <f t="shared" si="183"/>
        <v>#DIV/0!</v>
      </c>
      <c r="BV363" t="e">
        <f t="shared" si="184"/>
        <v>#DIV/0!</v>
      </c>
      <c r="BX363" t="e">
        <f t="shared" si="185"/>
        <v>#DIV/0!</v>
      </c>
      <c r="CX363">
        <v>0</v>
      </c>
    </row>
    <row r="364" spans="59:102">
      <c r="BG364">
        <f t="shared" si="169"/>
        <v>0</v>
      </c>
      <c r="BH364">
        <f t="shared" si="170"/>
        <v>0</v>
      </c>
      <c r="BI364">
        <f t="shared" si="171"/>
        <v>0</v>
      </c>
      <c r="BJ364">
        <f t="shared" si="172"/>
        <v>0</v>
      </c>
      <c r="BK364">
        <f t="shared" si="173"/>
        <v>0</v>
      </c>
      <c r="BL364">
        <f t="shared" si="174"/>
        <v>0</v>
      </c>
      <c r="BM364">
        <f t="shared" si="175"/>
        <v>0</v>
      </c>
      <c r="BN364">
        <f t="shared" si="176"/>
        <v>0</v>
      </c>
      <c r="BO364">
        <f t="shared" si="177"/>
        <v>0</v>
      </c>
      <c r="BP364">
        <f t="shared" si="178"/>
        <v>0</v>
      </c>
      <c r="BQ364">
        <f t="shared" si="179"/>
        <v>0</v>
      </c>
      <c r="BR364">
        <f t="shared" si="180"/>
        <v>0</v>
      </c>
      <c r="BS364">
        <f t="shared" si="181"/>
        <v>0</v>
      </c>
      <c r="BT364">
        <f t="shared" si="182"/>
        <v>0</v>
      </c>
      <c r="BU364" t="e">
        <f t="shared" si="183"/>
        <v>#DIV/0!</v>
      </c>
      <c r="BV364" t="e">
        <f t="shared" si="184"/>
        <v>#DIV/0!</v>
      </c>
      <c r="BX364" t="e">
        <f t="shared" si="185"/>
        <v>#DIV/0!</v>
      </c>
      <c r="CX364">
        <v>0</v>
      </c>
    </row>
    <row r="365" spans="59:102">
      <c r="BG365">
        <f t="shared" si="169"/>
        <v>0</v>
      </c>
      <c r="BH365">
        <f t="shared" si="170"/>
        <v>0</v>
      </c>
      <c r="BI365">
        <f t="shared" si="171"/>
        <v>0</v>
      </c>
      <c r="BJ365">
        <f t="shared" si="172"/>
        <v>0</v>
      </c>
      <c r="BK365">
        <f t="shared" si="173"/>
        <v>0</v>
      </c>
      <c r="BL365">
        <f t="shared" si="174"/>
        <v>0</v>
      </c>
      <c r="BM365">
        <f t="shared" si="175"/>
        <v>0</v>
      </c>
      <c r="BN365">
        <f t="shared" si="176"/>
        <v>0</v>
      </c>
      <c r="BO365">
        <f t="shared" si="177"/>
        <v>0</v>
      </c>
      <c r="BP365">
        <f t="shared" si="178"/>
        <v>0</v>
      </c>
      <c r="BQ365">
        <f t="shared" si="179"/>
        <v>0</v>
      </c>
      <c r="BR365">
        <f t="shared" si="180"/>
        <v>0</v>
      </c>
      <c r="BS365">
        <f t="shared" si="181"/>
        <v>0</v>
      </c>
      <c r="BT365">
        <f t="shared" si="182"/>
        <v>0</v>
      </c>
      <c r="BU365" t="e">
        <f t="shared" si="183"/>
        <v>#DIV/0!</v>
      </c>
      <c r="BV365" t="e">
        <f t="shared" si="184"/>
        <v>#DIV/0!</v>
      </c>
      <c r="BX365" t="e">
        <f t="shared" si="185"/>
        <v>#DIV/0!</v>
      </c>
      <c r="CX365">
        <v>0</v>
      </c>
    </row>
    <row r="366" spans="59:102">
      <c r="BG366">
        <f t="shared" si="169"/>
        <v>0</v>
      </c>
      <c r="BH366">
        <f t="shared" si="170"/>
        <v>0</v>
      </c>
      <c r="BI366">
        <f t="shared" si="171"/>
        <v>0</v>
      </c>
      <c r="BJ366">
        <f t="shared" si="172"/>
        <v>0</v>
      </c>
      <c r="BK366">
        <f t="shared" si="173"/>
        <v>0</v>
      </c>
      <c r="BL366">
        <f t="shared" si="174"/>
        <v>0</v>
      </c>
      <c r="BM366">
        <f t="shared" si="175"/>
        <v>0</v>
      </c>
      <c r="BN366">
        <f t="shared" si="176"/>
        <v>0</v>
      </c>
      <c r="BO366">
        <f t="shared" si="177"/>
        <v>0</v>
      </c>
      <c r="BP366">
        <f t="shared" si="178"/>
        <v>0</v>
      </c>
      <c r="BQ366">
        <f t="shared" si="179"/>
        <v>0</v>
      </c>
      <c r="BR366">
        <f t="shared" si="180"/>
        <v>0</v>
      </c>
      <c r="BS366">
        <f t="shared" si="181"/>
        <v>0</v>
      </c>
      <c r="BT366">
        <f t="shared" si="182"/>
        <v>0</v>
      </c>
      <c r="BU366" t="e">
        <f t="shared" si="183"/>
        <v>#DIV/0!</v>
      </c>
      <c r="BV366" t="e">
        <f t="shared" si="184"/>
        <v>#DIV/0!</v>
      </c>
      <c r="BX366" t="e">
        <f t="shared" si="185"/>
        <v>#DIV/0!</v>
      </c>
      <c r="CX366">
        <v>0</v>
      </c>
    </row>
    <row r="367" spans="59:102">
      <c r="BG367">
        <f t="shared" si="169"/>
        <v>0</v>
      </c>
      <c r="BH367">
        <f t="shared" si="170"/>
        <v>0</v>
      </c>
      <c r="BI367">
        <f t="shared" si="171"/>
        <v>0</v>
      </c>
      <c r="BJ367">
        <f t="shared" si="172"/>
        <v>0</v>
      </c>
      <c r="BK367">
        <f t="shared" si="173"/>
        <v>0</v>
      </c>
      <c r="BL367">
        <f t="shared" si="174"/>
        <v>0</v>
      </c>
      <c r="BM367">
        <f t="shared" si="175"/>
        <v>0</v>
      </c>
      <c r="BN367">
        <f t="shared" si="176"/>
        <v>0</v>
      </c>
      <c r="BO367">
        <f t="shared" si="177"/>
        <v>0</v>
      </c>
      <c r="BP367">
        <f t="shared" si="178"/>
        <v>0</v>
      </c>
      <c r="BQ367">
        <f t="shared" si="179"/>
        <v>0</v>
      </c>
      <c r="BR367">
        <f t="shared" si="180"/>
        <v>0</v>
      </c>
      <c r="BS367">
        <f t="shared" si="181"/>
        <v>0</v>
      </c>
      <c r="BT367">
        <f t="shared" si="182"/>
        <v>0</v>
      </c>
      <c r="BU367" t="e">
        <f t="shared" si="183"/>
        <v>#DIV/0!</v>
      </c>
      <c r="BV367" t="e">
        <f t="shared" si="184"/>
        <v>#DIV/0!</v>
      </c>
      <c r="BX367" t="e">
        <f t="shared" si="185"/>
        <v>#DIV/0!</v>
      </c>
      <c r="CX367">
        <v>0</v>
      </c>
    </row>
    <row r="368" spans="59:102">
      <c r="BG368">
        <f t="shared" si="169"/>
        <v>0</v>
      </c>
      <c r="BH368">
        <f t="shared" si="170"/>
        <v>0</v>
      </c>
      <c r="BI368">
        <f t="shared" si="171"/>
        <v>0</v>
      </c>
      <c r="BJ368">
        <f t="shared" si="172"/>
        <v>0</v>
      </c>
      <c r="BK368">
        <f t="shared" si="173"/>
        <v>0</v>
      </c>
      <c r="BL368">
        <f t="shared" si="174"/>
        <v>0</v>
      </c>
      <c r="BM368">
        <f t="shared" si="175"/>
        <v>0</v>
      </c>
      <c r="BN368">
        <f t="shared" si="176"/>
        <v>0</v>
      </c>
      <c r="BO368">
        <f t="shared" si="177"/>
        <v>0</v>
      </c>
      <c r="BP368">
        <f t="shared" si="178"/>
        <v>0</v>
      </c>
      <c r="BQ368">
        <f t="shared" si="179"/>
        <v>0</v>
      </c>
      <c r="BR368">
        <f t="shared" si="180"/>
        <v>0</v>
      </c>
      <c r="BS368">
        <f t="shared" si="181"/>
        <v>0</v>
      </c>
      <c r="BT368">
        <f t="shared" si="182"/>
        <v>0</v>
      </c>
      <c r="BU368" t="e">
        <f t="shared" si="183"/>
        <v>#DIV/0!</v>
      </c>
      <c r="BV368" t="e">
        <f t="shared" si="184"/>
        <v>#DIV/0!</v>
      </c>
      <c r="BX368" t="e">
        <f t="shared" si="185"/>
        <v>#DIV/0!</v>
      </c>
      <c r="CX368">
        <v>0</v>
      </c>
    </row>
    <row r="369" spans="59:102">
      <c r="BG369">
        <f t="shared" si="169"/>
        <v>0</v>
      </c>
      <c r="BH369">
        <f t="shared" si="170"/>
        <v>0</v>
      </c>
      <c r="BI369">
        <f t="shared" si="171"/>
        <v>0</v>
      </c>
      <c r="BJ369">
        <f t="shared" si="172"/>
        <v>0</v>
      </c>
      <c r="BK369">
        <f t="shared" si="173"/>
        <v>0</v>
      </c>
      <c r="BL369">
        <f t="shared" si="174"/>
        <v>0</v>
      </c>
      <c r="BM369">
        <f t="shared" si="175"/>
        <v>0</v>
      </c>
      <c r="BN369">
        <f t="shared" si="176"/>
        <v>0</v>
      </c>
      <c r="BO369">
        <f t="shared" si="177"/>
        <v>0</v>
      </c>
      <c r="BP369">
        <f t="shared" si="178"/>
        <v>0</v>
      </c>
      <c r="BQ369">
        <f t="shared" si="179"/>
        <v>0</v>
      </c>
      <c r="BR369">
        <f t="shared" si="180"/>
        <v>0</v>
      </c>
      <c r="BS369">
        <f t="shared" si="181"/>
        <v>0</v>
      </c>
      <c r="BT369">
        <f t="shared" si="182"/>
        <v>0</v>
      </c>
      <c r="BU369" t="e">
        <f t="shared" si="183"/>
        <v>#DIV/0!</v>
      </c>
      <c r="BV369" t="e">
        <f t="shared" si="184"/>
        <v>#DIV/0!</v>
      </c>
      <c r="BX369" t="e">
        <f t="shared" si="185"/>
        <v>#DIV/0!</v>
      </c>
      <c r="CX369">
        <v>0</v>
      </c>
    </row>
    <row r="370" spans="59:102">
      <c r="BG370">
        <f t="shared" si="169"/>
        <v>0</v>
      </c>
      <c r="BH370">
        <f t="shared" si="170"/>
        <v>0</v>
      </c>
      <c r="BI370">
        <f t="shared" si="171"/>
        <v>0</v>
      </c>
      <c r="BJ370">
        <f t="shared" si="172"/>
        <v>0</v>
      </c>
      <c r="BK370">
        <f t="shared" si="173"/>
        <v>0</v>
      </c>
      <c r="BL370">
        <f t="shared" si="174"/>
        <v>0</v>
      </c>
      <c r="BM370">
        <f t="shared" si="175"/>
        <v>0</v>
      </c>
      <c r="BN370">
        <f t="shared" si="176"/>
        <v>0</v>
      </c>
      <c r="BO370">
        <f t="shared" si="177"/>
        <v>0</v>
      </c>
      <c r="BP370">
        <f t="shared" si="178"/>
        <v>0</v>
      </c>
      <c r="BQ370">
        <f t="shared" si="179"/>
        <v>0</v>
      </c>
      <c r="BR370">
        <f t="shared" si="180"/>
        <v>0</v>
      </c>
      <c r="BS370">
        <f t="shared" si="181"/>
        <v>0</v>
      </c>
      <c r="BT370">
        <f t="shared" si="182"/>
        <v>0</v>
      </c>
      <c r="BU370" t="e">
        <f t="shared" si="183"/>
        <v>#DIV/0!</v>
      </c>
      <c r="BV370" t="e">
        <f t="shared" si="184"/>
        <v>#DIV/0!</v>
      </c>
      <c r="BX370" t="e">
        <f t="shared" si="185"/>
        <v>#DIV/0!</v>
      </c>
      <c r="CX370">
        <v>0</v>
      </c>
    </row>
    <row r="371" spans="59:102">
      <c r="BG371">
        <f t="shared" si="169"/>
        <v>0</v>
      </c>
      <c r="BH371">
        <f t="shared" si="170"/>
        <v>0</v>
      </c>
      <c r="BI371">
        <f t="shared" si="171"/>
        <v>0</v>
      </c>
      <c r="BJ371">
        <f t="shared" si="172"/>
        <v>0</v>
      </c>
      <c r="BK371">
        <f t="shared" si="173"/>
        <v>0</v>
      </c>
      <c r="BL371">
        <f t="shared" si="174"/>
        <v>0</v>
      </c>
      <c r="BM371">
        <f t="shared" si="175"/>
        <v>0</v>
      </c>
      <c r="BN371">
        <f t="shared" si="176"/>
        <v>0</v>
      </c>
      <c r="BO371">
        <f t="shared" si="177"/>
        <v>0</v>
      </c>
      <c r="BP371">
        <f t="shared" si="178"/>
        <v>0</v>
      </c>
      <c r="BQ371">
        <f t="shared" si="179"/>
        <v>0</v>
      </c>
      <c r="BR371">
        <f t="shared" si="180"/>
        <v>0</v>
      </c>
      <c r="BS371">
        <f t="shared" si="181"/>
        <v>0</v>
      </c>
      <c r="BT371">
        <f t="shared" si="182"/>
        <v>0</v>
      </c>
      <c r="BU371" t="e">
        <f t="shared" si="183"/>
        <v>#DIV/0!</v>
      </c>
      <c r="BV371" t="e">
        <f t="shared" si="184"/>
        <v>#DIV/0!</v>
      </c>
      <c r="BX371" t="e">
        <f t="shared" si="185"/>
        <v>#DIV/0!</v>
      </c>
      <c r="CX371">
        <v>0</v>
      </c>
    </row>
    <row r="372" spans="59:102">
      <c r="BG372">
        <f t="shared" si="169"/>
        <v>0</v>
      </c>
      <c r="BH372">
        <f t="shared" si="170"/>
        <v>0</v>
      </c>
      <c r="BI372">
        <f t="shared" si="171"/>
        <v>0</v>
      </c>
      <c r="BJ372">
        <f t="shared" si="172"/>
        <v>0</v>
      </c>
      <c r="BK372">
        <f t="shared" si="173"/>
        <v>0</v>
      </c>
      <c r="BL372">
        <f t="shared" si="174"/>
        <v>0</v>
      </c>
      <c r="BM372">
        <f t="shared" si="175"/>
        <v>0</v>
      </c>
      <c r="BN372">
        <f t="shared" si="176"/>
        <v>0</v>
      </c>
      <c r="BO372">
        <f t="shared" si="177"/>
        <v>0</v>
      </c>
      <c r="BP372">
        <f t="shared" si="178"/>
        <v>0</v>
      </c>
      <c r="BQ372">
        <f t="shared" si="179"/>
        <v>0</v>
      </c>
      <c r="BR372">
        <f t="shared" si="180"/>
        <v>0</v>
      </c>
      <c r="BS372">
        <f t="shared" si="181"/>
        <v>0</v>
      </c>
      <c r="BT372">
        <f t="shared" si="182"/>
        <v>0</v>
      </c>
      <c r="BU372" t="e">
        <f t="shared" si="183"/>
        <v>#DIV/0!</v>
      </c>
      <c r="BV372" t="e">
        <f t="shared" si="184"/>
        <v>#DIV/0!</v>
      </c>
      <c r="BX372" t="e">
        <f t="shared" si="185"/>
        <v>#DIV/0!</v>
      </c>
      <c r="CX372">
        <v>0</v>
      </c>
    </row>
    <row r="373" spans="59:102">
      <c r="BG373">
        <f t="shared" si="169"/>
        <v>0</v>
      </c>
      <c r="BH373">
        <f t="shared" si="170"/>
        <v>0</v>
      </c>
      <c r="BI373">
        <f t="shared" si="171"/>
        <v>0</v>
      </c>
      <c r="BJ373">
        <f t="shared" si="172"/>
        <v>0</v>
      </c>
      <c r="BK373">
        <f t="shared" si="173"/>
        <v>0</v>
      </c>
      <c r="BL373">
        <f t="shared" si="174"/>
        <v>0</v>
      </c>
      <c r="BM373">
        <f t="shared" si="175"/>
        <v>0</v>
      </c>
      <c r="BN373">
        <f t="shared" si="176"/>
        <v>0</v>
      </c>
      <c r="BO373">
        <f t="shared" si="177"/>
        <v>0</v>
      </c>
      <c r="BP373">
        <f t="shared" si="178"/>
        <v>0</v>
      </c>
      <c r="BQ373">
        <f t="shared" si="179"/>
        <v>0</v>
      </c>
      <c r="BR373">
        <f t="shared" si="180"/>
        <v>0</v>
      </c>
      <c r="BS373">
        <f t="shared" si="181"/>
        <v>0</v>
      </c>
      <c r="BT373">
        <f t="shared" si="182"/>
        <v>0</v>
      </c>
      <c r="BU373" t="e">
        <f t="shared" si="183"/>
        <v>#DIV/0!</v>
      </c>
      <c r="BV373" t="e">
        <f t="shared" si="184"/>
        <v>#DIV/0!</v>
      </c>
      <c r="BX373" t="e">
        <f t="shared" si="185"/>
        <v>#DIV/0!</v>
      </c>
      <c r="CX373">
        <v>0</v>
      </c>
    </row>
  </sheetData>
  <mergeCells count="14">
    <mergeCell ref="A224:A228"/>
    <mergeCell ref="A229:A233"/>
    <mergeCell ref="B223:F223"/>
    <mergeCell ref="G223:K223"/>
    <mergeCell ref="A235:A236"/>
    <mergeCell ref="N223:O223"/>
    <mergeCell ref="P223:S223"/>
    <mergeCell ref="A80:A81"/>
    <mergeCell ref="C73:C81"/>
    <mergeCell ref="B74:B77"/>
    <mergeCell ref="A74:A75"/>
    <mergeCell ref="A76:A77"/>
    <mergeCell ref="B78:B81"/>
    <mergeCell ref="A78:A79"/>
  </mergeCells>
  <phoneticPr fontId="4" type="noConversion"/>
  <conditionalFormatting sqref="G289:G29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{213BB72B-15D6-445B-90F5-D21E15CE25F8}</x14:id>
        </ext>
      </extLst>
    </cfRule>
  </conditionalFormatting>
  <conditionalFormatting sqref="AW315:BB3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{7D36BD36-A73D-4180-A6FD-4224200F57C2}</x14:id>
        </ext>
      </extLst>
    </cfRule>
  </conditionalFormatting>
  <hyperlinks>
    <hyperlink ref="A18" r:id="rId1" location="tblfn3" display="https://www.sciencedirect.com/science/article/pii/S0024493704003238?casa_token=CVkKDc4pK_sAAAAA:GSQLqdj200ePA2Iv0BGrM5pL2FJcSr_eV4q96_PGVHs2B4DHVEsfbQZWZlW7CYG6xMA4Fr8RU5w - tblfn3" xr:uid="{93ECE084-0726-4E3E-A139-C34904B45B86}"/>
    <hyperlink ref="A19" r:id="rId2" location="tblfn3" display="https://www.sciencedirect.com/science/article/pii/S0024493704003238?casa_token=CVkKDc4pK_sAAAAA:GSQLqdj200ePA2Iv0BGrM5pL2FJcSr_eV4q96_PGVHs2B4DHVEsfbQZWZlW7CYG6xMA4Fr8RU5w - tblfn3" xr:uid="{6CDF81E3-19A6-4100-9829-9359D1161E29}"/>
    <hyperlink ref="A20" r:id="rId3" location="tblfn3" display="https://www.sciencedirect.com/science/article/pii/S0024493704003238?casa_token=CVkKDc4pK_sAAAAA:GSQLqdj200ePA2Iv0BGrM5pL2FJcSr_eV4q96_PGVHs2B4DHVEsfbQZWZlW7CYG6xMA4Fr8RU5w - tblfn3" xr:uid="{0A84E3C8-5A79-4C0B-9F79-59BFDC014002}"/>
    <hyperlink ref="A21" r:id="rId4" location="tblfn3" display="https://www.sciencedirect.com/science/article/pii/S0024493704003238?casa_token=CVkKDc4pK_sAAAAA:GSQLqdj200ePA2Iv0BGrM5pL2FJcSr_eV4q96_PGVHs2B4DHVEsfbQZWZlW7CYG6xMA4Fr8RU5w - tblfn3" xr:uid="{933BAB3F-AEDE-401B-9AD2-135718250DF5}"/>
  </hyperlinks>
  <pageMargins left="0.7" right="0.7" top="0.75" bottom="0.75" header="0.3" footer="0.3"/>
  <pageSetup paperSize="9"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3BB72B-15D6-445B-90F5-D21E15CE25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G289:G294</xm:sqref>
        </x14:conditionalFormatting>
        <x14:conditionalFormatting xmlns:xm="http://schemas.microsoft.com/office/excel/2006/main">
          <x14:cfRule type="dataBar" id="{7D36BD36-A73D-4180-A6FD-4224200F57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AW315:BB315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гранаты исходники</vt:lpstr>
      <vt:lpstr>'гранаты исходники'!btblfn3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2015-06-05T18:19:34Z</dcterms:created>
  <dcterms:modified xsi:type="dcterms:W3CDTF">2022-10-18T13:19:37Z</dcterms:modified>
</cp:coreProperties>
</file>