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filterPrivacy="1" defaultThemeVersion="124226"/>
  <xr:revisionPtr revIDLastSave="0" documentId="13_ncr:1_{CFE13D3C-D846-43BB-90C6-6456EF6DA460}" xr6:coauthVersionLast="47" xr6:coauthVersionMax="47" xr10:uidLastSave="{00000000-0000-0000-0000-000000000000}"/>
  <bookViews>
    <workbookView xWindow="17860" yWindow="1710" windowWidth="2370" windowHeight="560" tabRatio="603" activeTab="4" xr2:uid="{00000000-000D-0000-FFFF-FFFF00000000}"/>
  </bookViews>
  <sheets>
    <sheet name="Таблица полная Grt" sheetId="5" r:id="rId1"/>
    <sheet name="Таблица полная Cpx" sheetId="4" r:id="rId2"/>
    <sheet name="для графера" sheetId="6" r:id="rId3"/>
    <sheet name="генерации" sheetId="7" r:id="rId4"/>
    <sheet name="Лист1" sheetId="8" r:id="rId5"/>
  </sheets>
  <definedNames>
    <definedName name="_xlnm._FilterDatabase" localSheetId="3" hidden="1">генерации!$B$1:$B$1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4" i="8" l="1"/>
  <c r="BT12" i="7"/>
  <c r="BT14" i="7"/>
  <c r="BT15" i="7"/>
  <c r="BT16" i="7"/>
  <c r="BT18" i="7"/>
  <c r="BT19" i="7"/>
  <c r="BT20" i="7"/>
  <c r="BT21" i="7"/>
  <c r="BT23" i="7"/>
  <c r="BT24" i="7"/>
  <c r="BT25" i="7"/>
  <c r="BT26" i="7"/>
  <c r="BT27" i="7"/>
  <c r="BT28" i="7"/>
  <c r="BT29" i="7"/>
  <c r="BT31" i="7"/>
  <c r="BT32" i="7"/>
  <c r="BT33" i="7"/>
  <c r="BT34" i="7"/>
  <c r="BT10" i="7"/>
  <c r="BT8" i="7"/>
  <c r="BT7" i="7"/>
  <c r="BT6" i="7"/>
  <c r="BT3" i="7"/>
  <c r="BT2" i="7"/>
  <c r="BI3" i="7"/>
  <c r="BI4" i="7"/>
  <c r="BI5" i="7"/>
  <c r="BI6" i="7"/>
  <c r="BI7" i="7"/>
  <c r="BI8" i="7"/>
  <c r="BI9" i="7"/>
  <c r="BI10" i="7"/>
  <c r="BI11" i="7"/>
  <c r="BI12" i="7"/>
  <c r="BI13" i="7"/>
  <c r="BI14" i="7"/>
  <c r="BI15" i="7"/>
  <c r="BI16" i="7"/>
  <c r="BI17" i="7"/>
  <c r="BI18" i="7"/>
  <c r="BI19" i="7"/>
  <c r="BI20" i="7"/>
  <c r="BI21" i="7"/>
  <c r="BI22" i="7"/>
  <c r="BI23" i="7"/>
  <c r="BI24" i="7"/>
  <c r="BI25" i="7"/>
  <c r="BI26" i="7"/>
  <c r="BI27" i="7"/>
  <c r="BI28" i="7"/>
  <c r="BI29" i="7"/>
  <c r="BI30" i="7"/>
  <c r="BI31" i="7"/>
  <c r="BI32" i="7"/>
  <c r="BI33" i="7"/>
  <c r="BI34" i="7"/>
  <c r="BH30" i="7" l="1"/>
  <c r="BH31" i="7"/>
  <c r="BH32" i="7"/>
  <c r="BH33" i="7"/>
  <c r="BH34" i="7"/>
  <c r="BH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2" i="7"/>
  <c r="BI2" i="7" s="1"/>
  <c r="BM12" i="7"/>
  <c r="BK12" i="7"/>
  <c r="BL29" i="7"/>
  <c r="BM29" i="7"/>
  <c r="BR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R2" i="7"/>
  <c r="P43" i="8" l="1"/>
  <c r="E45" i="8"/>
  <c r="F45" i="8"/>
  <c r="G45" i="8"/>
  <c r="H45" i="8"/>
  <c r="I45" i="8"/>
  <c r="J45" i="8"/>
  <c r="K45" i="8"/>
  <c r="L45" i="8"/>
  <c r="M45" i="8"/>
  <c r="N45" i="8"/>
  <c r="O45" i="8"/>
  <c r="P45" i="8"/>
  <c r="E46" i="8"/>
  <c r="F46" i="8"/>
  <c r="G46" i="8"/>
  <c r="H46" i="8"/>
  <c r="I46" i="8"/>
  <c r="J46" i="8"/>
  <c r="K46" i="8"/>
  <c r="L46" i="8"/>
  <c r="M46" i="8"/>
  <c r="N46" i="8"/>
  <c r="O46" i="8"/>
  <c r="P46" i="8"/>
  <c r="F43" i="8"/>
  <c r="G43" i="8"/>
  <c r="H43" i="8"/>
  <c r="I43" i="8"/>
  <c r="J43" i="8"/>
  <c r="K43" i="8"/>
  <c r="L43" i="8"/>
  <c r="M43" i="8"/>
  <c r="N43" i="8"/>
  <c r="O43" i="8"/>
  <c r="E43" i="8"/>
  <c r="BN2" i="7"/>
  <c r="BN12" i="7"/>
  <c r="BN29" i="7"/>
  <c r="H28" i="6"/>
  <c r="BK2" i="5"/>
  <c r="BL2" i="5"/>
  <c r="BM2" i="5"/>
  <c r="BN2" i="5"/>
  <c r="BO2" i="5"/>
  <c r="BK3" i="5"/>
  <c r="BL3" i="5"/>
  <c r="BM3" i="5"/>
  <c r="BN3" i="5"/>
  <c r="BO3" i="5"/>
  <c r="BK4" i="5"/>
  <c r="BL4" i="5"/>
  <c r="BM4" i="5"/>
  <c r="BN4" i="5"/>
  <c r="BO4" i="5"/>
  <c r="BK5" i="5"/>
  <c r="BL5" i="5"/>
  <c r="BM5" i="5"/>
  <c r="BN5" i="5"/>
  <c r="BO5" i="5"/>
  <c r="BK6" i="5"/>
  <c r="BL6" i="5"/>
  <c r="BM6" i="5"/>
  <c r="BN6" i="5"/>
  <c r="BO6" i="5"/>
  <c r="BK7" i="5"/>
  <c r="BL7" i="5"/>
  <c r="BM7" i="5"/>
  <c r="BN7" i="5"/>
  <c r="BO7" i="5"/>
  <c r="BK8" i="5"/>
  <c r="BL8" i="5"/>
  <c r="BM8" i="5"/>
  <c r="BN8" i="5"/>
  <c r="BO8" i="5"/>
  <c r="BK9" i="5"/>
  <c r="BL9" i="5"/>
  <c r="BM9" i="5"/>
  <c r="BN9" i="5"/>
  <c r="BO9" i="5"/>
  <c r="BK10" i="5"/>
  <c r="BL10" i="5"/>
  <c r="BM10" i="5"/>
  <c r="BN10" i="5"/>
  <c r="BO10" i="5"/>
  <c r="BK11" i="5"/>
  <c r="BL11" i="5"/>
  <c r="BM11" i="5"/>
  <c r="BN11" i="5"/>
  <c r="BO11" i="5"/>
  <c r="BK12" i="5"/>
  <c r="BL12" i="5"/>
  <c r="BM12" i="5"/>
  <c r="BN12" i="5"/>
  <c r="BO12" i="5"/>
  <c r="BK13" i="5"/>
  <c r="BL13" i="5"/>
  <c r="BM13" i="5"/>
  <c r="BN13" i="5"/>
  <c r="BO13" i="5"/>
  <c r="BK14" i="5"/>
  <c r="BL14" i="5"/>
  <c r="BM14" i="5"/>
  <c r="BN14" i="5"/>
  <c r="BO14" i="5"/>
  <c r="BK15" i="5"/>
  <c r="BL15" i="5"/>
  <c r="BM15" i="5"/>
  <c r="BN15" i="5"/>
  <c r="BO15" i="5"/>
  <c r="BK16" i="5"/>
  <c r="BL16" i="5"/>
  <c r="BM16" i="5"/>
  <c r="BN16" i="5"/>
  <c r="BO16" i="5"/>
  <c r="BK17" i="5"/>
  <c r="BL17" i="5"/>
  <c r="BM17" i="5"/>
  <c r="BN17" i="5"/>
  <c r="BO17" i="5"/>
  <c r="BK18" i="5"/>
  <c r="BL18" i="5"/>
  <c r="BM18" i="5"/>
  <c r="BN18" i="5"/>
  <c r="BO18" i="5"/>
  <c r="BK19" i="5"/>
  <c r="BL19" i="5"/>
  <c r="BM19" i="5"/>
  <c r="BN19" i="5"/>
  <c r="BO19" i="5"/>
  <c r="BK20" i="5"/>
  <c r="BL20" i="5"/>
  <c r="BM20" i="5"/>
  <c r="BN20" i="5"/>
  <c r="BO20" i="5"/>
  <c r="BK21" i="5"/>
  <c r="BL21" i="5"/>
  <c r="BM21" i="5"/>
  <c r="BN21" i="5"/>
  <c r="BO21" i="5"/>
  <c r="BK22" i="5"/>
  <c r="BL22" i="5"/>
  <c r="BM22" i="5"/>
  <c r="BN22" i="5"/>
  <c r="BO22" i="5"/>
  <c r="BK23" i="5"/>
  <c r="BL23" i="5"/>
  <c r="BM23" i="5"/>
  <c r="BN23" i="5"/>
  <c r="BO23" i="5"/>
  <c r="BK24" i="5"/>
  <c r="BL24" i="5"/>
  <c r="BM24" i="5"/>
  <c r="BN24" i="5"/>
  <c r="BO24" i="5"/>
  <c r="BK25" i="5"/>
  <c r="BL25" i="5"/>
  <c r="BM25" i="5"/>
  <c r="BN25" i="5"/>
  <c r="BO25" i="5"/>
  <c r="BK4" i="7"/>
  <c r="BK5" i="7"/>
  <c r="BK6" i="7"/>
  <c r="BK7" i="7"/>
  <c r="BK8" i="7"/>
  <c r="BK9" i="7"/>
  <c r="BK10" i="7"/>
  <c r="BK11" i="7"/>
  <c r="BK13" i="7"/>
  <c r="BK14" i="7"/>
  <c r="BK15" i="7"/>
  <c r="BK16" i="7"/>
  <c r="BK17" i="7"/>
  <c r="BK18" i="7"/>
  <c r="BK19" i="7"/>
  <c r="BK20" i="7"/>
  <c r="BK21" i="7"/>
  <c r="BK22" i="7"/>
  <c r="BK23" i="7"/>
  <c r="BK24" i="7"/>
  <c r="BK25" i="7"/>
  <c r="BK26" i="7"/>
  <c r="BK27" i="7"/>
  <c r="BK28" i="7"/>
  <c r="BK29" i="7"/>
  <c r="BK30" i="7"/>
  <c r="BK31" i="7"/>
  <c r="BK32" i="7"/>
  <c r="BK33" i="7"/>
  <c r="BK34" i="7"/>
  <c r="BK3" i="7"/>
  <c r="BK2" i="7"/>
  <c r="N3" i="8"/>
  <c r="Y36" i="8" l="1"/>
  <c r="L36" i="8" s="1"/>
  <c r="L38" i="8" s="1"/>
  <c r="E36" i="8"/>
  <c r="F36" i="8"/>
  <c r="G36" i="8"/>
  <c r="G38" i="8" s="1"/>
  <c r="H36" i="8"/>
  <c r="H38" i="8" s="1"/>
  <c r="I36" i="8"/>
  <c r="I38" i="8" s="1"/>
  <c r="J36" i="8"/>
  <c r="J38" i="8" s="1"/>
  <c r="K36" i="8"/>
  <c r="M36" i="8"/>
  <c r="N36" i="8"/>
  <c r="O36" i="8"/>
  <c r="O38" i="8" s="1"/>
  <c r="P36" i="8"/>
  <c r="P38" i="8" s="1"/>
  <c r="E34" i="8"/>
  <c r="F34" i="8"/>
  <c r="G34" i="8"/>
  <c r="H34" i="8"/>
  <c r="I34" i="8"/>
  <c r="J34" i="8"/>
  <c r="K34" i="8"/>
  <c r="M34" i="8"/>
  <c r="N34" i="8"/>
  <c r="O34" i="8"/>
  <c r="P34" i="8"/>
  <c r="E35" i="8"/>
  <c r="F35" i="8"/>
  <c r="G35" i="8"/>
  <c r="H35" i="8"/>
  <c r="I35" i="8"/>
  <c r="J35" i="8"/>
  <c r="K35" i="8"/>
  <c r="M35" i="8"/>
  <c r="N35" i="8"/>
  <c r="O35" i="8"/>
  <c r="P35" i="8"/>
  <c r="Y33" i="8"/>
  <c r="L33" i="8" s="1"/>
  <c r="L39" i="8" s="1"/>
  <c r="Y34" i="8"/>
  <c r="L34" i="8" s="1"/>
  <c r="Y35" i="8"/>
  <c r="L35" i="8" s="1"/>
  <c r="Y32" i="8"/>
  <c r="O33" i="8"/>
  <c r="O39" i="8" s="1"/>
  <c r="J33" i="8"/>
  <c r="J39" i="8" s="1"/>
  <c r="G33" i="8"/>
  <c r="G39" i="8" s="1"/>
  <c r="J32" i="8"/>
  <c r="E32" i="8"/>
  <c r="F32" i="8"/>
  <c r="G32" i="8"/>
  <c r="H32" i="8"/>
  <c r="I32" i="8"/>
  <c r="K32" i="8"/>
  <c r="M32" i="8"/>
  <c r="N32" i="8"/>
  <c r="O32" i="8"/>
  <c r="P32" i="8"/>
  <c r="E33" i="8"/>
  <c r="F33" i="8"/>
  <c r="H33" i="8"/>
  <c r="H39" i="8" s="1"/>
  <c r="I33" i="8"/>
  <c r="I39" i="8" s="1"/>
  <c r="K33" i="8"/>
  <c r="K39" i="8" s="1"/>
  <c r="M33" i="8"/>
  <c r="M39" i="8" s="1"/>
  <c r="N33" i="8"/>
  <c r="N39" i="8" s="1"/>
  <c r="P33" i="8"/>
  <c r="P39" i="8" s="1"/>
  <c r="L32" i="8"/>
  <c r="F3" i="8"/>
  <c r="G3" i="8"/>
  <c r="G37" i="8" s="1"/>
  <c r="H3" i="8"/>
  <c r="H37" i="8" s="1"/>
  <c r="I3" i="8"/>
  <c r="I37" i="8" s="1"/>
  <c r="J3" i="8"/>
  <c r="J37" i="8" s="1"/>
  <c r="K3" i="8"/>
  <c r="L3" i="8"/>
  <c r="L37" i="8" s="1"/>
  <c r="M3" i="8"/>
  <c r="O3" i="8"/>
  <c r="O37" i="8" s="1"/>
  <c r="P3" i="8"/>
  <c r="P37" i="8" s="1"/>
  <c r="F4" i="8"/>
  <c r="H4" i="8"/>
  <c r="I4" i="8"/>
  <c r="J4" i="8"/>
  <c r="K4" i="8"/>
  <c r="L4" i="8"/>
  <c r="M4" i="8"/>
  <c r="N4" i="8"/>
  <c r="O4" i="8"/>
  <c r="P4" i="8"/>
  <c r="F7" i="8"/>
  <c r="G7" i="8"/>
  <c r="H7" i="8"/>
  <c r="I7" i="8"/>
  <c r="J7" i="8"/>
  <c r="K7" i="8"/>
  <c r="L7" i="8"/>
  <c r="M7" i="8"/>
  <c r="N7" i="8"/>
  <c r="O7" i="8"/>
  <c r="P7" i="8"/>
  <c r="F8" i="8"/>
  <c r="G8" i="8"/>
  <c r="H8" i="8"/>
  <c r="I8" i="8"/>
  <c r="J8" i="8"/>
  <c r="K8" i="8"/>
  <c r="L8" i="8"/>
  <c r="M8" i="8"/>
  <c r="N8" i="8"/>
  <c r="O8" i="8"/>
  <c r="P8" i="8"/>
  <c r="F11" i="8"/>
  <c r="G11" i="8"/>
  <c r="H11" i="8"/>
  <c r="I11" i="8"/>
  <c r="J11" i="8"/>
  <c r="K11" i="8"/>
  <c r="L11" i="8"/>
  <c r="M11" i="8"/>
  <c r="N11" i="8"/>
  <c r="O11" i="8"/>
  <c r="P11" i="8"/>
  <c r="F13" i="8"/>
  <c r="G13" i="8"/>
  <c r="H13" i="8"/>
  <c r="I13" i="8"/>
  <c r="J13" i="8"/>
  <c r="K13" i="8"/>
  <c r="L13" i="8"/>
  <c r="M13" i="8"/>
  <c r="N13" i="8"/>
  <c r="O13" i="8"/>
  <c r="P13" i="8"/>
  <c r="F15" i="8"/>
  <c r="G15" i="8"/>
  <c r="H15" i="8"/>
  <c r="I15" i="8"/>
  <c r="J15" i="8"/>
  <c r="K15" i="8"/>
  <c r="L15" i="8"/>
  <c r="M15" i="8"/>
  <c r="N15" i="8"/>
  <c r="O15" i="8"/>
  <c r="P15" i="8"/>
  <c r="F16" i="8"/>
  <c r="G16" i="8"/>
  <c r="H16" i="8"/>
  <c r="I16" i="8"/>
  <c r="J16" i="8"/>
  <c r="K16" i="8"/>
  <c r="L16" i="8"/>
  <c r="M16" i="8"/>
  <c r="N16" i="8"/>
  <c r="O16" i="8"/>
  <c r="P16" i="8"/>
  <c r="F17" i="8"/>
  <c r="G17" i="8"/>
  <c r="H17" i="8"/>
  <c r="I17" i="8"/>
  <c r="J17" i="8"/>
  <c r="K17" i="8"/>
  <c r="L17" i="8"/>
  <c r="M17" i="8"/>
  <c r="N17" i="8"/>
  <c r="O17" i="8"/>
  <c r="P17" i="8"/>
  <c r="F19" i="8"/>
  <c r="G19" i="8"/>
  <c r="H19" i="8"/>
  <c r="I19" i="8"/>
  <c r="J19" i="8"/>
  <c r="K19" i="8"/>
  <c r="L19" i="8"/>
  <c r="M19" i="8"/>
  <c r="N19" i="8"/>
  <c r="O19" i="8"/>
  <c r="P19" i="8"/>
  <c r="F20" i="8"/>
  <c r="G20" i="8"/>
  <c r="H20" i="8"/>
  <c r="I20" i="8"/>
  <c r="J20" i="8"/>
  <c r="K20" i="8"/>
  <c r="L20" i="8"/>
  <c r="M20" i="8"/>
  <c r="N20" i="8"/>
  <c r="O20" i="8"/>
  <c r="P20" i="8"/>
  <c r="F21" i="8"/>
  <c r="G21" i="8"/>
  <c r="H21" i="8"/>
  <c r="I21" i="8"/>
  <c r="J21" i="8"/>
  <c r="K21" i="8"/>
  <c r="L21" i="8"/>
  <c r="M21" i="8"/>
  <c r="N21" i="8"/>
  <c r="O21" i="8"/>
  <c r="P21" i="8"/>
  <c r="F22" i="8"/>
  <c r="G22" i="8"/>
  <c r="H22" i="8"/>
  <c r="I22" i="8"/>
  <c r="J22" i="8"/>
  <c r="K22" i="8"/>
  <c r="L22" i="8"/>
  <c r="M22" i="8"/>
  <c r="N22" i="8"/>
  <c r="O22" i="8"/>
  <c r="P22" i="8"/>
  <c r="F24" i="8"/>
  <c r="G24" i="8"/>
  <c r="G40" i="8" s="1"/>
  <c r="H24" i="8"/>
  <c r="H40" i="8" s="1"/>
  <c r="I24" i="8"/>
  <c r="I40" i="8" s="1"/>
  <c r="J24" i="8"/>
  <c r="J40" i="8" s="1"/>
  <c r="K24" i="8"/>
  <c r="K40" i="8" s="1"/>
  <c r="L24" i="8"/>
  <c r="L40" i="8" s="1"/>
  <c r="M24" i="8"/>
  <c r="M40" i="8" s="1"/>
  <c r="N24" i="8"/>
  <c r="N40" i="8" s="1"/>
  <c r="O24" i="8"/>
  <c r="O40" i="8" s="1"/>
  <c r="P24" i="8"/>
  <c r="P40" i="8" s="1"/>
  <c r="F25" i="8"/>
  <c r="G25" i="8"/>
  <c r="H25" i="8"/>
  <c r="I25" i="8"/>
  <c r="J25" i="8"/>
  <c r="K25" i="8"/>
  <c r="L25" i="8"/>
  <c r="M25" i="8"/>
  <c r="N25" i="8"/>
  <c r="O25" i="8"/>
  <c r="P25" i="8"/>
  <c r="F26" i="8"/>
  <c r="G26" i="8"/>
  <c r="H26" i="8"/>
  <c r="I26" i="8"/>
  <c r="J26" i="8"/>
  <c r="K26" i="8"/>
  <c r="L26" i="8"/>
  <c r="M26" i="8"/>
  <c r="N26" i="8"/>
  <c r="O26" i="8"/>
  <c r="P26" i="8"/>
  <c r="F27" i="8"/>
  <c r="G27" i="8"/>
  <c r="H27" i="8"/>
  <c r="I27" i="8"/>
  <c r="J27" i="8"/>
  <c r="K27" i="8"/>
  <c r="L27" i="8"/>
  <c r="M27" i="8"/>
  <c r="N27" i="8"/>
  <c r="O27" i="8"/>
  <c r="P27" i="8"/>
  <c r="F28" i="8"/>
  <c r="G28" i="8"/>
  <c r="H28" i="8"/>
  <c r="I28" i="8"/>
  <c r="J28" i="8"/>
  <c r="K28" i="8"/>
  <c r="L28" i="8"/>
  <c r="M28" i="8"/>
  <c r="N28" i="8"/>
  <c r="O28" i="8"/>
  <c r="P28" i="8"/>
  <c r="F29" i="8"/>
  <c r="G29" i="8"/>
  <c r="H29" i="8"/>
  <c r="I29" i="8"/>
  <c r="J29" i="8"/>
  <c r="K29" i="8"/>
  <c r="L29" i="8"/>
  <c r="M29" i="8"/>
  <c r="N29" i="8"/>
  <c r="O29" i="8"/>
  <c r="P29" i="8"/>
  <c r="F30" i="8"/>
  <c r="G30" i="8"/>
  <c r="H30" i="8"/>
  <c r="I30" i="8"/>
  <c r="J30" i="8"/>
  <c r="K30" i="8"/>
  <c r="L30" i="8"/>
  <c r="M30" i="8"/>
  <c r="N30" i="8"/>
  <c r="O30" i="8"/>
  <c r="P30" i="8"/>
  <c r="E30" i="8"/>
  <c r="E4" i="8"/>
  <c r="E7" i="8"/>
  <c r="E8" i="8"/>
  <c r="E11" i="8"/>
  <c r="E13" i="8"/>
  <c r="E15" i="8"/>
  <c r="E16" i="8"/>
  <c r="E17" i="8"/>
  <c r="E19" i="8"/>
  <c r="E20" i="8"/>
  <c r="E21" i="8"/>
  <c r="E22" i="8"/>
  <c r="E24" i="8"/>
  <c r="E25" i="8"/>
  <c r="E26" i="8"/>
  <c r="E27" i="8"/>
  <c r="E28" i="8"/>
  <c r="E29" i="8"/>
  <c r="E3" i="8"/>
  <c r="BQ2" i="7"/>
  <c r="BQ29" i="7"/>
  <c r="BP29" i="7"/>
  <c r="BO29" i="7"/>
  <c r="BQ12" i="7"/>
  <c r="BL12" i="7"/>
  <c r="BP12" i="7"/>
  <c r="BO12" i="7"/>
  <c r="BF2" i="7"/>
  <c r="BG29" i="7"/>
  <c r="BG28" i="7"/>
  <c r="BG27" i="7"/>
  <c r="BG26" i="7"/>
  <c r="BG25" i="7"/>
  <c r="BG24" i="7"/>
  <c r="BG23" i="7"/>
  <c r="BG21" i="7"/>
  <c r="BG20" i="7"/>
  <c r="BG19" i="7"/>
  <c r="BG18" i="7"/>
  <c r="BG16" i="7"/>
  <c r="BG15" i="7"/>
  <c r="BG14" i="7"/>
  <c r="BG12" i="7"/>
  <c r="BG10" i="7"/>
  <c r="BG7" i="7"/>
  <c r="BG6" i="7"/>
  <c r="BG3" i="7"/>
  <c r="BG2" i="7"/>
  <c r="BF3" i="7"/>
  <c r="BF6" i="7"/>
  <c r="BF7" i="7"/>
  <c r="BF10" i="7"/>
  <c r="BF12" i="7"/>
  <c r="BF14" i="7"/>
  <c r="BF15" i="7"/>
  <c r="BF16" i="7"/>
  <c r="BF18" i="7"/>
  <c r="BF19" i="7"/>
  <c r="BF20" i="7"/>
  <c r="BF21" i="7"/>
  <c r="BF23" i="7"/>
  <c r="BF24" i="7"/>
  <c r="BF25" i="7"/>
  <c r="BF26" i="7"/>
  <c r="BF27" i="7"/>
  <c r="BF28" i="7"/>
  <c r="BF29" i="7"/>
  <c r="BQ14" i="7" l="1"/>
  <c r="BQ15" i="7"/>
  <c r="BQ16" i="7"/>
  <c r="BQ18" i="7"/>
  <c r="BQ19" i="7"/>
  <c r="BQ20" i="7"/>
  <c r="BQ21" i="7"/>
  <c r="BQ23" i="7"/>
  <c r="BQ24" i="7"/>
  <c r="BQ25" i="7"/>
  <c r="BQ26" i="7"/>
  <c r="BQ27" i="7"/>
  <c r="BQ28" i="7"/>
  <c r="BQ3" i="7"/>
  <c r="BQ6" i="7"/>
  <c r="BQ7" i="7"/>
  <c r="BQ10" i="7"/>
  <c r="BP3" i="7"/>
  <c r="BP6" i="7"/>
  <c r="BP7" i="7"/>
  <c r="BP10" i="7"/>
  <c r="BP14" i="7"/>
  <c r="BP15" i="7"/>
  <c r="BP16" i="7"/>
  <c r="BP18" i="7"/>
  <c r="BP19" i="7"/>
  <c r="BP20" i="7"/>
  <c r="BP21" i="7"/>
  <c r="BP23" i="7"/>
  <c r="BP24" i="7"/>
  <c r="BP25" i="7"/>
  <c r="BP26" i="7"/>
  <c r="BP27" i="7"/>
  <c r="BP28" i="7"/>
  <c r="BP2" i="7"/>
  <c r="B29" i="6" l="1"/>
  <c r="C29" i="6"/>
  <c r="E29" i="6"/>
  <c r="F29" i="6"/>
  <c r="G29" i="6"/>
  <c r="H29" i="6"/>
  <c r="J29" i="6"/>
  <c r="K29" i="6"/>
  <c r="L29" i="6"/>
  <c r="N29" i="6"/>
  <c r="B30" i="6"/>
  <c r="C30" i="6"/>
  <c r="E30" i="6"/>
  <c r="F30" i="6"/>
  <c r="G30" i="6"/>
  <c r="H30" i="6"/>
  <c r="J30" i="6"/>
  <c r="K30" i="6"/>
  <c r="L30" i="6"/>
  <c r="N30" i="6"/>
  <c r="B31" i="6"/>
  <c r="C31" i="6"/>
  <c r="E31" i="6"/>
  <c r="F31" i="6"/>
  <c r="G31" i="6"/>
  <c r="H31" i="6"/>
  <c r="J31" i="6"/>
  <c r="K31" i="6"/>
  <c r="L31" i="6"/>
  <c r="N31" i="6"/>
  <c r="B32" i="6"/>
  <c r="C32" i="6"/>
  <c r="E32" i="6"/>
  <c r="F32" i="6"/>
  <c r="G32" i="6"/>
  <c r="H32" i="6"/>
  <c r="J32" i="6"/>
  <c r="K32" i="6"/>
  <c r="L32" i="6"/>
  <c r="N32" i="6"/>
  <c r="B33" i="6"/>
  <c r="C33" i="6"/>
  <c r="E33" i="6"/>
  <c r="F33" i="6"/>
  <c r="G33" i="6"/>
  <c r="H33" i="6"/>
  <c r="J33" i="6"/>
  <c r="K33" i="6"/>
  <c r="L33" i="6"/>
  <c r="N33" i="6"/>
  <c r="B34" i="6"/>
  <c r="C34" i="6"/>
  <c r="E34" i="6"/>
  <c r="F34" i="6"/>
  <c r="G34" i="6"/>
  <c r="H34" i="6"/>
  <c r="J34" i="6"/>
  <c r="K34" i="6"/>
  <c r="L34" i="6"/>
  <c r="N34" i="6"/>
  <c r="B35" i="6"/>
  <c r="C35" i="6"/>
  <c r="E35" i="6"/>
  <c r="F35" i="6"/>
  <c r="G35" i="6"/>
  <c r="H35" i="6"/>
  <c r="J35" i="6"/>
  <c r="K35" i="6"/>
  <c r="L35" i="6"/>
  <c r="N35" i="6"/>
  <c r="B36" i="6"/>
  <c r="C36" i="6"/>
  <c r="E36" i="6"/>
  <c r="F36" i="6"/>
  <c r="G36" i="6"/>
  <c r="H36" i="6"/>
  <c r="J36" i="6"/>
  <c r="K36" i="6"/>
  <c r="L36" i="6"/>
  <c r="N36" i="6"/>
  <c r="B37" i="6"/>
  <c r="C37" i="6"/>
  <c r="E37" i="6"/>
  <c r="F37" i="6"/>
  <c r="G37" i="6"/>
  <c r="H37" i="6"/>
  <c r="J37" i="6"/>
  <c r="K37" i="6"/>
  <c r="L37" i="6"/>
  <c r="N37" i="6"/>
  <c r="B38" i="6"/>
  <c r="C38" i="6"/>
  <c r="E38" i="6"/>
  <c r="F38" i="6"/>
  <c r="G38" i="6"/>
  <c r="H38" i="6"/>
  <c r="J38" i="6"/>
  <c r="K38" i="6"/>
  <c r="L38" i="6"/>
  <c r="N38" i="6"/>
  <c r="B39" i="6"/>
  <c r="C39" i="6"/>
  <c r="E39" i="6"/>
  <c r="F39" i="6"/>
  <c r="G39" i="6"/>
  <c r="H39" i="6"/>
  <c r="J39" i="6"/>
  <c r="K39" i="6"/>
  <c r="L39" i="6"/>
  <c r="N39" i="6"/>
  <c r="B40" i="6"/>
  <c r="C40" i="6"/>
  <c r="E40" i="6"/>
  <c r="F40" i="6"/>
  <c r="G40" i="6"/>
  <c r="H40" i="6"/>
  <c r="J40" i="6"/>
  <c r="K40" i="6"/>
  <c r="L40" i="6"/>
  <c r="N40" i="6"/>
  <c r="B41" i="6"/>
  <c r="C41" i="6"/>
  <c r="E41" i="6"/>
  <c r="F41" i="6"/>
  <c r="G41" i="6"/>
  <c r="H41" i="6"/>
  <c r="J41" i="6"/>
  <c r="K41" i="6"/>
  <c r="L41" i="6"/>
  <c r="N41" i="6"/>
  <c r="B42" i="6"/>
  <c r="C42" i="6"/>
  <c r="E42" i="6"/>
  <c r="F42" i="6"/>
  <c r="G42" i="6"/>
  <c r="H42" i="6"/>
  <c r="J42" i="6"/>
  <c r="K42" i="6"/>
  <c r="L42" i="6"/>
  <c r="N42" i="6"/>
  <c r="B43" i="6"/>
  <c r="C43" i="6"/>
  <c r="E43" i="6"/>
  <c r="F43" i="6"/>
  <c r="G43" i="6"/>
  <c r="H43" i="6"/>
  <c r="J43" i="6"/>
  <c r="K43" i="6"/>
  <c r="L43" i="6"/>
  <c r="N43" i="6"/>
  <c r="B44" i="6"/>
  <c r="C44" i="6"/>
  <c r="E44" i="6"/>
  <c r="F44" i="6"/>
  <c r="G44" i="6"/>
  <c r="H44" i="6"/>
  <c r="J44" i="6"/>
  <c r="K44" i="6"/>
  <c r="L44" i="6"/>
  <c r="N44" i="6"/>
  <c r="B45" i="6"/>
  <c r="C45" i="6"/>
  <c r="E45" i="6"/>
  <c r="F45" i="6"/>
  <c r="G45" i="6"/>
  <c r="H45" i="6"/>
  <c r="J45" i="6"/>
  <c r="K45" i="6"/>
  <c r="L45" i="6"/>
  <c r="N45" i="6"/>
  <c r="B46" i="6"/>
  <c r="C46" i="6"/>
  <c r="E46" i="6"/>
  <c r="F46" i="6"/>
  <c r="G46" i="6"/>
  <c r="H46" i="6"/>
  <c r="J46" i="6"/>
  <c r="K46" i="6"/>
  <c r="L46" i="6"/>
  <c r="N46" i="6"/>
  <c r="B47" i="6"/>
  <c r="B48" i="6"/>
  <c r="B49" i="6"/>
  <c r="B50" i="6"/>
  <c r="B51" i="6"/>
  <c r="C47" i="6"/>
  <c r="E47" i="6"/>
  <c r="F47" i="6"/>
  <c r="G47" i="6"/>
  <c r="H47" i="6"/>
  <c r="J47" i="6"/>
  <c r="K47" i="6"/>
  <c r="L47" i="6"/>
  <c r="N47" i="6"/>
  <c r="C48" i="6"/>
  <c r="E48" i="6"/>
  <c r="F48" i="6"/>
  <c r="G48" i="6"/>
  <c r="H48" i="6"/>
  <c r="J48" i="6"/>
  <c r="K48" i="6"/>
  <c r="L48" i="6"/>
  <c r="N48" i="6"/>
  <c r="C49" i="6"/>
  <c r="E49" i="6"/>
  <c r="F49" i="6"/>
  <c r="G49" i="6"/>
  <c r="H49" i="6"/>
  <c r="J49" i="6"/>
  <c r="K49" i="6"/>
  <c r="L49" i="6"/>
  <c r="N49" i="6"/>
  <c r="C50" i="6"/>
  <c r="E50" i="6"/>
  <c r="F50" i="6"/>
  <c r="G50" i="6"/>
  <c r="H50" i="6"/>
  <c r="J50" i="6"/>
  <c r="K50" i="6"/>
  <c r="L50" i="6"/>
  <c r="N50" i="6"/>
  <c r="C51" i="6"/>
  <c r="E51" i="6"/>
  <c r="F51" i="6"/>
  <c r="G51" i="6"/>
  <c r="H51" i="6"/>
  <c r="J51" i="6"/>
  <c r="K51" i="6"/>
  <c r="L51" i="6"/>
  <c r="N51" i="6"/>
  <c r="E28" i="6"/>
  <c r="F28" i="6"/>
  <c r="G28" i="6"/>
  <c r="J28" i="6"/>
  <c r="K28" i="6"/>
  <c r="L28" i="6"/>
  <c r="N28" i="6"/>
  <c r="C28" i="6"/>
  <c r="B28" i="6"/>
  <c r="BI11" i="5" l="1"/>
  <c r="BJ11" i="5" s="1"/>
  <c r="BI12" i="5"/>
  <c r="BJ12" i="5" s="1"/>
  <c r="BI13" i="5"/>
  <c r="BJ13" i="5" s="1"/>
  <c r="BI14" i="5"/>
  <c r="BJ14" i="5"/>
  <c r="BI8" i="5"/>
  <c r="BJ8" i="5"/>
  <c r="BI9" i="5"/>
  <c r="BJ9" i="5"/>
  <c r="BI10" i="5"/>
  <c r="BJ10" i="5" s="1"/>
  <c r="BJ7" i="5"/>
  <c r="BJ6" i="5"/>
  <c r="BI7" i="5"/>
  <c r="BI6" i="5"/>
  <c r="BH23" i="5"/>
  <c r="BH21" i="5"/>
  <c r="BH18" i="5"/>
  <c r="BH19" i="5"/>
  <c r="BH17" i="5"/>
  <c r="BH14" i="5"/>
  <c r="BH7" i="5"/>
  <c r="BH6" i="5"/>
  <c r="BG23" i="5"/>
  <c r="BG21" i="5"/>
  <c r="BG19" i="5"/>
  <c r="BG18" i="5"/>
  <c r="BG17" i="5"/>
  <c r="BG14" i="5"/>
  <c r="BG7" i="5"/>
  <c r="BG6" i="5"/>
  <c r="BF4" i="5"/>
  <c r="BF5" i="5"/>
  <c r="BF6" i="5"/>
  <c r="BF7" i="5"/>
  <c r="BF8" i="5"/>
  <c r="BF9" i="5"/>
  <c r="BF10" i="5"/>
  <c r="BF11" i="5"/>
  <c r="BF12" i="5"/>
  <c r="BF13" i="5"/>
  <c r="BF14" i="5"/>
  <c r="BF15" i="5"/>
  <c r="BF16" i="5"/>
  <c r="BF17" i="5"/>
  <c r="BF18" i="5"/>
  <c r="BF19" i="5"/>
  <c r="BF20" i="5"/>
  <c r="BF21" i="5"/>
  <c r="BF22" i="5"/>
  <c r="BF23" i="5"/>
  <c r="BF24" i="5"/>
  <c r="BF25" i="5"/>
  <c r="BF3" i="5"/>
  <c r="BF2" i="5"/>
  <c r="AZ7" i="4" l="1"/>
  <c r="AZ15" i="4"/>
  <c r="AZ23" i="4"/>
  <c r="AZ31" i="4"/>
  <c r="AZ39" i="4"/>
  <c r="AZ47" i="4"/>
  <c r="AZ55" i="4"/>
  <c r="AY56" i="4"/>
  <c r="AZ56" i="4" s="1"/>
  <c r="AY55" i="4"/>
  <c r="AY54" i="4"/>
  <c r="AZ54" i="4" s="1"/>
  <c r="AY53" i="4"/>
  <c r="AZ53" i="4" s="1"/>
  <c r="AY52" i="4"/>
  <c r="AZ52" i="4" s="1"/>
  <c r="AY51" i="4"/>
  <c r="AZ51" i="4" s="1"/>
  <c r="AY50" i="4"/>
  <c r="AZ50" i="4" s="1"/>
  <c r="AY49" i="4"/>
  <c r="AZ49" i="4" s="1"/>
  <c r="AY48" i="4"/>
  <c r="AZ48" i="4" s="1"/>
  <c r="AY47" i="4"/>
  <c r="AY46" i="4"/>
  <c r="AZ46" i="4" s="1"/>
  <c r="AY45" i="4"/>
  <c r="AZ45" i="4" s="1"/>
  <c r="AY44" i="4"/>
  <c r="AZ44" i="4" s="1"/>
  <c r="AY43" i="4"/>
  <c r="AZ43" i="4" s="1"/>
  <c r="AY42" i="4"/>
  <c r="AZ42" i="4" s="1"/>
  <c r="AY41" i="4"/>
  <c r="AZ41" i="4" s="1"/>
  <c r="AY40" i="4"/>
  <c r="AZ40" i="4" s="1"/>
  <c r="AY39" i="4"/>
  <c r="AY38" i="4"/>
  <c r="AZ38" i="4" s="1"/>
  <c r="AY37" i="4"/>
  <c r="AZ37" i="4" s="1"/>
  <c r="AY36" i="4"/>
  <c r="AZ36" i="4" s="1"/>
  <c r="AY35" i="4"/>
  <c r="AZ35" i="4" s="1"/>
  <c r="AY34" i="4"/>
  <c r="AZ34" i="4" s="1"/>
  <c r="AY33" i="4"/>
  <c r="AZ33" i="4" s="1"/>
  <c r="AY32" i="4"/>
  <c r="AZ32" i="4" s="1"/>
  <c r="AY31" i="4"/>
  <c r="AY30" i="4"/>
  <c r="AZ30" i="4" s="1"/>
  <c r="AY29" i="4"/>
  <c r="AZ29" i="4" s="1"/>
  <c r="AY28" i="4"/>
  <c r="AZ28" i="4" s="1"/>
  <c r="AY27" i="4"/>
  <c r="AZ27" i="4" s="1"/>
  <c r="AY26" i="4"/>
  <c r="AZ26" i="4" s="1"/>
  <c r="AY25" i="4"/>
  <c r="AZ25" i="4" s="1"/>
  <c r="AY24" i="4"/>
  <c r="AZ24" i="4" s="1"/>
  <c r="AY23" i="4"/>
  <c r="AY22" i="4"/>
  <c r="AZ22" i="4" s="1"/>
  <c r="AY21" i="4"/>
  <c r="AZ21" i="4" s="1"/>
  <c r="AY20" i="4"/>
  <c r="AZ20" i="4" s="1"/>
  <c r="AY19" i="4"/>
  <c r="AZ19" i="4" s="1"/>
  <c r="AY18" i="4"/>
  <c r="AZ18" i="4" s="1"/>
  <c r="AY17" i="4"/>
  <c r="AZ17" i="4" s="1"/>
  <c r="AY16" i="4"/>
  <c r="AZ16" i="4" s="1"/>
  <c r="AY15" i="4"/>
  <c r="AY14" i="4"/>
  <c r="AZ14" i="4" s="1"/>
  <c r="AY13" i="4"/>
  <c r="AZ13" i="4" s="1"/>
  <c r="AY12" i="4"/>
  <c r="AZ12" i="4" s="1"/>
  <c r="AY11" i="4"/>
  <c r="AZ11" i="4" s="1"/>
  <c r="AY10" i="4"/>
  <c r="AZ10" i="4" s="1"/>
  <c r="AY9" i="4"/>
  <c r="AZ9" i="4" s="1"/>
  <c r="AY8" i="4"/>
  <c r="AZ8" i="4" s="1"/>
  <c r="AY7" i="4"/>
  <c r="AY6" i="4"/>
  <c r="AZ6" i="4" s="1"/>
  <c r="AY5" i="4"/>
  <c r="AZ5" i="4" s="1"/>
  <c r="AY4" i="4"/>
  <c r="AZ4" i="4" s="1"/>
  <c r="AY3" i="4"/>
  <c r="AZ3" i="4" s="1"/>
  <c r="AY2" i="4"/>
  <c r="AZ2" i="4" s="1"/>
</calcChain>
</file>

<file path=xl/sharedStrings.xml><?xml version="1.0" encoding="utf-8"?>
<sst xmlns="http://schemas.openxmlformats.org/spreadsheetml/2006/main" count="486" uniqueCount="193">
  <si>
    <t>№ образца</t>
  </si>
  <si>
    <t>порода</t>
  </si>
  <si>
    <t>№анализа EPMA</t>
  </si>
  <si>
    <t>SiO2</t>
  </si>
  <si>
    <t>кружок</t>
  </si>
  <si>
    <t>точка_SIMS</t>
  </si>
  <si>
    <t xml:space="preserve">Spectrum </t>
  </si>
  <si>
    <t>Na</t>
  </si>
  <si>
    <t>Mg</t>
  </si>
  <si>
    <t>Al</t>
  </si>
  <si>
    <t>Si</t>
  </si>
  <si>
    <t>Ca</t>
  </si>
  <si>
    <t>Ti</t>
  </si>
  <si>
    <t>V</t>
  </si>
  <si>
    <t>Cr</t>
  </si>
  <si>
    <t>Mn</t>
  </si>
  <si>
    <t>Fe</t>
  </si>
  <si>
    <t>Zr</t>
  </si>
  <si>
    <t>Ba</t>
  </si>
  <si>
    <t>S</t>
  </si>
  <si>
    <t>K</t>
  </si>
  <si>
    <t>Total</t>
  </si>
  <si>
    <t>085Rb</t>
  </si>
  <si>
    <t>087Rb_str</t>
  </si>
  <si>
    <t>088Sr</t>
  </si>
  <si>
    <t>090Zr</t>
  </si>
  <si>
    <t>140Ce</t>
  </si>
  <si>
    <t>149Sm</t>
  </si>
  <si>
    <t>158Gd</t>
  </si>
  <si>
    <t>167Er</t>
  </si>
  <si>
    <t>174Yb</t>
  </si>
  <si>
    <t>178Hf</t>
  </si>
  <si>
    <t>232Th</t>
  </si>
  <si>
    <t>238U</t>
  </si>
  <si>
    <t>181Ta</t>
  </si>
  <si>
    <t>165Ho</t>
  </si>
  <si>
    <t>163Dy</t>
  </si>
  <si>
    <t>153Eu</t>
  </si>
  <si>
    <t>143Nd</t>
  </si>
  <si>
    <t>139La</t>
  </si>
  <si>
    <t>093Nb</t>
  </si>
  <si>
    <t>089Y</t>
  </si>
  <si>
    <t>051V</t>
  </si>
  <si>
    <t>047Ti</t>
  </si>
  <si>
    <t>011B</t>
  </si>
  <si>
    <t>007Li</t>
  </si>
  <si>
    <t>158Gd str</t>
  </si>
  <si>
    <t>174Yb str</t>
  </si>
  <si>
    <t>153Eu str</t>
  </si>
  <si>
    <t>167Er str</t>
  </si>
  <si>
    <t>delta Ti</t>
  </si>
  <si>
    <t>18КЛ-08</t>
  </si>
  <si>
    <t>айликит</t>
  </si>
  <si>
    <t>Sp 1-2</t>
  </si>
  <si>
    <t>4 (2)</t>
  </si>
  <si>
    <t>Spectrum 2</t>
  </si>
  <si>
    <t>Sp 30-2</t>
  </si>
  <si>
    <t>Sp 34-2</t>
  </si>
  <si>
    <t>18КЛ-17</t>
  </si>
  <si>
    <t xml:space="preserve">мела-айликит </t>
  </si>
  <si>
    <t>19КЛ-23</t>
  </si>
  <si>
    <t>мончикит</t>
  </si>
  <si>
    <t>-</t>
  </si>
  <si>
    <t>19КН-05</t>
  </si>
  <si>
    <t>саннаит</t>
  </si>
  <si>
    <t>19КН-31</t>
  </si>
  <si>
    <t>19ТР-13</t>
  </si>
  <si>
    <t>Spectrum 15</t>
  </si>
  <si>
    <t>Spectrum 16</t>
  </si>
  <si>
    <t>Spectrum 17</t>
  </si>
  <si>
    <t>Spectrum 18</t>
  </si>
  <si>
    <t>Spectrum 19</t>
  </si>
  <si>
    <t>Spectrum 20</t>
  </si>
  <si>
    <t>19ТР-14</t>
  </si>
  <si>
    <t>Spectrum 7</t>
  </si>
  <si>
    <t>Spectrum 8</t>
  </si>
  <si>
    <t>Spectrum 9</t>
  </si>
  <si>
    <t>Spectrum 10</t>
  </si>
  <si>
    <t>19ТР-16</t>
  </si>
  <si>
    <t>Spectrum 81</t>
  </si>
  <si>
    <t>Spectrum 82</t>
  </si>
  <si>
    <t>Spectrum 83</t>
  </si>
  <si>
    <t>Spectrum 84</t>
  </si>
  <si>
    <t>Spectrum 85</t>
  </si>
  <si>
    <t>Spectrum 86</t>
  </si>
  <si>
    <t>19ТР-19</t>
  </si>
  <si>
    <t>Spectrum 11</t>
  </si>
  <si>
    <t>Spectrum 12</t>
  </si>
  <si>
    <t>19ТР-43</t>
  </si>
  <si>
    <t>Spectrum 35</t>
  </si>
  <si>
    <t>Spectrum 36</t>
  </si>
  <si>
    <t>Spectrum 37</t>
  </si>
  <si>
    <t>Spectrum 38</t>
  </si>
  <si>
    <t>Spectrum 39</t>
  </si>
  <si>
    <t>Spectrum 40</t>
  </si>
  <si>
    <t>Spectrum 41</t>
  </si>
  <si>
    <t>Spectrum 42</t>
  </si>
  <si>
    <t>Spectrum 43</t>
  </si>
  <si>
    <t>Spectrum 44</t>
  </si>
  <si>
    <t>TiO2</t>
  </si>
  <si>
    <t>Al2O3</t>
  </si>
  <si>
    <t>Cr2O3</t>
  </si>
  <si>
    <t>FeO</t>
  </si>
  <si>
    <t>MgO</t>
  </si>
  <si>
    <t>MnO</t>
  </si>
  <si>
    <t>CaO</t>
  </si>
  <si>
    <t>NiO</t>
  </si>
  <si>
    <t>Na2O</t>
  </si>
  <si>
    <t>K2O</t>
  </si>
  <si>
    <t>SrO</t>
  </si>
  <si>
    <t>BaO</t>
  </si>
  <si>
    <t>P2O5</t>
  </si>
  <si>
    <t>F</t>
  </si>
  <si>
    <t>Nb</t>
  </si>
  <si>
    <t>Y</t>
  </si>
  <si>
    <t>W</t>
  </si>
  <si>
    <t>Cl</t>
  </si>
  <si>
    <t xml:space="preserve">19ТР-14 </t>
  </si>
  <si>
    <t>18КЛ-20</t>
  </si>
  <si>
    <t>19ТР-9</t>
  </si>
  <si>
    <t>19ТР-12</t>
  </si>
  <si>
    <t>19ТР-18</t>
  </si>
  <si>
    <t>19ТР-4</t>
  </si>
  <si>
    <t>delta Zr</t>
  </si>
  <si>
    <t>Pr</t>
  </si>
  <si>
    <t>Tb</t>
  </si>
  <si>
    <t>Ho</t>
  </si>
  <si>
    <t>Tm</t>
  </si>
  <si>
    <t>% (Zr)</t>
  </si>
  <si>
    <t>delta V</t>
  </si>
  <si>
    <t>% (V)</t>
  </si>
  <si>
    <t># EPMA</t>
  </si>
  <si>
    <t>Sm/Ybn</t>
  </si>
  <si>
    <t>Sm/Lan</t>
  </si>
  <si>
    <t>Y/Ho</t>
  </si>
  <si>
    <t>La/Ybn</t>
  </si>
  <si>
    <t>Nb/Ta</t>
  </si>
  <si>
    <t>La</t>
  </si>
  <si>
    <t>Ce</t>
  </si>
  <si>
    <t>Nd</t>
  </si>
  <si>
    <t>Sm</t>
  </si>
  <si>
    <t xml:space="preserve">Eu </t>
  </si>
  <si>
    <t>Gd</t>
  </si>
  <si>
    <t>Dy</t>
  </si>
  <si>
    <t xml:space="preserve">Er </t>
  </si>
  <si>
    <t xml:space="preserve">Yb </t>
  </si>
  <si>
    <t>Lu</t>
  </si>
  <si>
    <t>генерация</t>
  </si>
  <si>
    <t>поздние каймы</t>
  </si>
  <si>
    <t>загнутые каймы</t>
  </si>
  <si>
    <t>центры</t>
  </si>
  <si>
    <t>центры турьяитов</t>
  </si>
  <si>
    <t>основная масса карбонат</t>
  </si>
  <si>
    <t>REEsum</t>
  </si>
  <si>
    <t>Zr/Hf</t>
  </si>
  <si>
    <t>ZrO2( SIMS)</t>
  </si>
  <si>
    <t>TiO2(SIMS)</t>
  </si>
  <si>
    <t>Спектр 8067</t>
  </si>
  <si>
    <t>27а</t>
  </si>
  <si>
    <t>Th</t>
  </si>
  <si>
    <t>U</t>
  </si>
  <si>
    <t>Ta</t>
  </si>
  <si>
    <t>Hf</t>
  </si>
  <si>
    <t>Eu</t>
  </si>
  <si>
    <t>Yb</t>
  </si>
  <si>
    <t>19ТР-15</t>
  </si>
  <si>
    <t>карбонатит</t>
  </si>
  <si>
    <t>19 ТР-1</t>
  </si>
  <si>
    <t>турьяит</t>
  </si>
  <si>
    <t>протокарбонатит</t>
  </si>
  <si>
    <t>19ТР-39</t>
  </si>
  <si>
    <t>19ТР-42</t>
  </si>
  <si>
    <t>18КЛ-16</t>
  </si>
  <si>
    <t>Слюдяной карбонатит</t>
  </si>
  <si>
    <t>протогранат из КЛ</t>
  </si>
  <si>
    <t xml:space="preserve">из Sweeney,1992 </t>
  </si>
  <si>
    <t>из Green,2000</t>
  </si>
  <si>
    <t>протосиликат</t>
  </si>
  <si>
    <t>прямые края</t>
  </si>
  <si>
    <t>Th/U</t>
  </si>
  <si>
    <t>протогранат из ТР</t>
  </si>
  <si>
    <t>Fe2+/Fe3+</t>
  </si>
  <si>
    <t>рудные</t>
  </si>
  <si>
    <t>перовскит и титаномагнетит (0.18 VO2)</t>
  </si>
  <si>
    <t>ilm (есть nb,zr), Pyr</t>
  </si>
  <si>
    <t>ti-mgt много ti,v</t>
  </si>
  <si>
    <t>ttn</t>
  </si>
  <si>
    <t>ilm (есть nb,zr), Pyr,zrn, mgt</t>
  </si>
  <si>
    <t>ti-mgt много ti,v, chpyr</t>
  </si>
  <si>
    <t>перовскит и титаномагнетит (0.18 VO2), cazrtio</t>
  </si>
  <si>
    <t>sph,spl,ti-mgt</t>
  </si>
  <si>
    <t>Sm/Nd</t>
  </si>
  <si>
    <t>С1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</si>
</sst>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 Light"/>
      <family val="2"/>
      <charset val="204"/>
    </font>
    <font>
      <sz val="11"/>
      <color rgb="FFFF0000"/>
      <name val="Calibri Light"/>
      <family val="2"/>
      <charset val="204"/>
    </font>
    <font>
      <sz val="11"/>
      <color rgb="FF00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9"/>
      <color theme="1"/>
      <name val="Calibri"/>
      <family val="2"/>
      <charset val="204"/>
    </font>
    <font>
      <sz val="11"/>
      <color rgb="FF000000"/>
      <name val="Calibri Light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0"/>
      <name val="Arial Cyr"/>
      <charset val="204"/>
    </font>
    <font>
      <sz val="10"/>
      <color rgb="FF000000"/>
      <name val="Calibri"/>
      <family val="2"/>
      <charset val="204"/>
    </font>
    <font>
      <sz val="10"/>
      <color theme="1"/>
      <name val="Calibri"/>
      <family val="2"/>
      <charset val="204"/>
    </font>
    <font>
      <sz val="12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BE4D5"/>
        <bgColor rgb="FFFBE4D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9CB9C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1" fillId="0" borderId="1" xfId="0" applyFont="1" applyBorder="1"/>
    <xf numFmtId="0" fontId="4" fillId="0" borderId="2" xfId="0" applyFont="1" applyBorder="1"/>
    <xf numFmtId="0" fontId="5" fillId="2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16" fontId="2" fillId="0" borderId="0" xfId="0" applyNumberFormat="1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/>
    </xf>
    <xf numFmtId="2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4" fillId="0" borderId="0" xfId="0" applyFont="1" applyBorder="1"/>
    <xf numFmtId="0" fontId="5" fillId="2" borderId="0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4" fillId="0" borderId="5" xfId="0" applyFont="1" applyBorder="1"/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2" xfId="0" applyFont="1" applyBorder="1"/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0" borderId="0" xfId="0" applyFont="1" applyBorder="1"/>
    <xf numFmtId="0" fontId="0" fillId="4" borderId="0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5" xfId="0" applyFont="1" applyBorder="1"/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0" borderId="2" xfId="0" applyBorder="1"/>
    <xf numFmtId="0" fontId="0" fillId="0" borderId="0" xfId="0" applyBorder="1"/>
    <xf numFmtId="0" fontId="0" fillId="6" borderId="0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0" fillId="0" borderId="5" xfId="0" applyBorder="1"/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1" xfId="0" applyBorder="1"/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Border="1" applyAlignment="1">
      <alignment horizontal="center"/>
    </xf>
    <xf numFmtId="2" fontId="6" fillId="7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0" fillId="8" borderId="0" xfId="0" applyFill="1" applyBorder="1" applyAlignment="1">
      <alignment horizontal="center"/>
    </xf>
    <xf numFmtId="0" fontId="7" fillId="0" borderId="0" xfId="0" applyFont="1" applyFill="1" applyBorder="1" applyAlignment="1">
      <alignment horizontal="center" wrapText="1"/>
    </xf>
    <xf numFmtId="2" fontId="2" fillId="0" borderId="0" xfId="0" applyNumberFormat="1" applyFon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5" fillId="5" borderId="0" xfId="0" applyFont="1" applyFill="1" applyBorder="1" applyAlignment="1">
      <alignment horizontal="center"/>
    </xf>
    <xf numFmtId="0" fontId="0" fillId="0" borderId="1" xfId="0" applyFont="1" applyBorder="1"/>
    <xf numFmtId="0" fontId="0" fillId="6" borderId="0" xfId="0" applyFill="1"/>
    <xf numFmtId="0" fontId="9" fillId="0" borderId="0" xfId="0" applyFont="1" applyAlignment="1">
      <alignment horizontal="center"/>
    </xf>
    <xf numFmtId="0" fontId="8" fillId="0" borderId="0" xfId="0" applyFont="1"/>
    <xf numFmtId="0" fontId="0" fillId="0" borderId="7" xfId="0" applyBorder="1"/>
    <xf numFmtId="0" fontId="2" fillId="0" borderId="7" xfId="0" applyFont="1" applyBorder="1"/>
    <xf numFmtId="0" fontId="0" fillId="0" borderId="0" xfId="0" applyFill="1" applyBorder="1"/>
    <xf numFmtId="2" fontId="0" fillId="0" borderId="0" xfId="0" applyNumberFormat="1" applyBorder="1"/>
    <xf numFmtId="164" fontId="3" fillId="0" borderId="0" xfId="0" applyNumberFormat="1" applyFont="1" applyFill="1" applyAlignment="1">
      <alignment horizontal="center"/>
    </xf>
    <xf numFmtId="164" fontId="0" fillId="0" borderId="0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8" xfId="0" applyBorder="1"/>
    <xf numFmtId="0" fontId="0" fillId="3" borderId="0" xfId="0" applyFill="1"/>
    <xf numFmtId="16" fontId="0" fillId="5" borderId="0" xfId="0" applyNumberFormat="1" applyFill="1" applyBorder="1" applyAlignment="1">
      <alignment horizontal="center"/>
    </xf>
    <xf numFmtId="0" fontId="10" fillId="9" borderId="9" xfId="0" applyFont="1" applyFill="1" applyBorder="1" applyAlignment="1">
      <alignment horizontal="center"/>
    </xf>
    <xf numFmtId="164" fontId="10" fillId="9" borderId="9" xfId="0" applyNumberFormat="1" applyFont="1" applyFill="1" applyBorder="1" applyAlignment="1">
      <alignment horizontal="center"/>
    </xf>
    <xf numFmtId="164" fontId="2" fillId="0" borderId="0" xfId="0" applyNumberFormat="1" applyFont="1"/>
    <xf numFmtId="1" fontId="11" fillId="10" borderId="9" xfId="0" applyNumberFormat="1" applyFont="1" applyFill="1" applyBorder="1" applyAlignment="1">
      <alignment horizontal="center"/>
    </xf>
    <xf numFmtId="164" fontId="11" fillId="10" borderId="9" xfId="0" applyNumberFormat="1" applyFont="1" applyFill="1" applyBorder="1" applyAlignment="1">
      <alignment horizontal="center"/>
    </xf>
    <xf numFmtId="2" fontId="10" fillId="11" borderId="9" xfId="0" applyNumberFormat="1" applyFont="1" applyFill="1" applyBorder="1" applyAlignment="1">
      <alignment horizontal="center"/>
    </xf>
    <xf numFmtId="0" fontId="10" fillId="11" borderId="9" xfId="0" applyFont="1" applyFill="1" applyBorder="1" applyAlignment="1">
      <alignment horizontal="center"/>
    </xf>
    <xf numFmtId="165" fontId="12" fillId="0" borderId="0" xfId="0" applyNumberFormat="1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9.3886482939632546E-2"/>
          <c:y val="0.17634259259259263"/>
          <c:w val="0.87122462817147861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'Таблица полная Grt'!$BM$2:$BM$25</c:f>
              <c:numCache>
                <c:formatCode>General</c:formatCode>
                <c:ptCount val="24"/>
                <c:pt idx="0">
                  <c:v>22.001487965511231</c:v>
                </c:pt>
                <c:pt idx="1">
                  <c:v>16.762887983341173</c:v>
                </c:pt>
                <c:pt idx="2">
                  <c:v>18.179591029407252</c:v>
                </c:pt>
                <c:pt idx="3">
                  <c:v>14.229865347478597</c:v>
                </c:pt>
                <c:pt idx="4">
                  <c:v>24.84580764632825</c:v>
                </c:pt>
                <c:pt idx="5">
                  <c:v>26.889224022109708</c:v>
                </c:pt>
                <c:pt idx="6">
                  <c:v>26.038053538330871</c:v>
                </c:pt>
                <c:pt idx="7">
                  <c:v>23.078445318801112</c:v>
                </c:pt>
                <c:pt idx="8">
                  <c:v>23.622966890487756</c:v>
                </c:pt>
                <c:pt idx="9">
                  <c:v>28.268811434575543</c:v>
                </c:pt>
                <c:pt idx="10">
                  <c:v>25.975729928349288</c:v>
                </c:pt>
                <c:pt idx="11">
                  <c:v>20.70636989651484</c:v>
                </c:pt>
                <c:pt idx="12">
                  <c:v>22.215053101679647</c:v>
                </c:pt>
                <c:pt idx="13">
                  <c:v>30.572436892971911</c:v>
                </c:pt>
                <c:pt idx="14">
                  <c:v>23.521723434854199</c:v>
                </c:pt>
                <c:pt idx="15">
                  <c:v>26.274772945408539</c:v>
                </c:pt>
                <c:pt idx="16">
                  <c:v>25.999522955086753</c:v>
                </c:pt>
                <c:pt idx="17">
                  <c:v>28.641475717973503</c:v>
                </c:pt>
                <c:pt idx="18">
                  <c:v>32.665872081830621</c:v>
                </c:pt>
                <c:pt idx="19">
                  <c:v>26.692435053343612</c:v>
                </c:pt>
                <c:pt idx="20">
                  <c:v>31.475459724437769</c:v>
                </c:pt>
                <c:pt idx="21">
                  <c:v>27.270534500321105</c:v>
                </c:pt>
                <c:pt idx="22">
                  <c:v>25.907552440872568</c:v>
                </c:pt>
                <c:pt idx="23">
                  <c:v>29.040373401195865</c:v>
                </c:pt>
              </c:numCache>
            </c:numRef>
          </c:xVal>
          <c:yVal>
            <c:numRef>
              <c:f>'Таблица полная Grt'!$BK$2:$BK$25</c:f>
              <c:numCache>
                <c:formatCode>General</c:formatCode>
                <c:ptCount val="24"/>
                <c:pt idx="0">
                  <c:v>14.349821328671059</c:v>
                </c:pt>
                <c:pt idx="1">
                  <c:v>9.6547104746925516</c:v>
                </c:pt>
                <c:pt idx="2">
                  <c:v>7.5600378944561424</c:v>
                </c:pt>
                <c:pt idx="3">
                  <c:v>22.833948783230685</c:v>
                </c:pt>
                <c:pt idx="4">
                  <c:v>0.84974698245073377</c:v>
                </c:pt>
                <c:pt idx="5">
                  <c:v>3.8867910640443291</c:v>
                </c:pt>
                <c:pt idx="6">
                  <c:v>3.2130403069487206</c:v>
                </c:pt>
                <c:pt idx="7">
                  <c:v>6.9694780427374461</c:v>
                </c:pt>
                <c:pt idx="8">
                  <c:v>3.8165632234314826</c:v>
                </c:pt>
                <c:pt idx="9">
                  <c:v>9.0513542114006551</c:v>
                </c:pt>
                <c:pt idx="10">
                  <c:v>4.5154591762054874</c:v>
                </c:pt>
                <c:pt idx="11">
                  <c:v>10.34193836217319</c:v>
                </c:pt>
                <c:pt idx="12">
                  <c:v>9.4755479889000007</c:v>
                </c:pt>
                <c:pt idx="13">
                  <c:v>1.4557240636475401</c:v>
                </c:pt>
                <c:pt idx="14">
                  <c:v>2.6460685534025536</c:v>
                </c:pt>
                <c:pt idx="15">
                  <c:v>2.4912340965814894</c:v>
                </c:pt>
                <c:pt idx="16">
                  <c:v>1.7959570743012974</c:v>
                </c:pt>
                <c:pt idx="17">
                  <c:v>1.5888807082078416</c:v>
                </c:pt>
                <c:pt idx="18">
                  <c:v>1.6854714029094744</c:v>
                </c:pt>
                <c:pt idx="19">
                  <c:v>2.3304522354606108</c:v>
                </c:pt>
                <c:pt idx="20">
                  <c:v>2.3554697203639772</c:v>
                </c:pt>
                <c:pt idx="21">
                  <c:v>0.58291391080465771</c:v>
                </c:pt>
                <c:pt idx="22">
                  <c:v>4.4612746507177929</c:v>
                </c:pt>
                <c:pt idx="23">
                  <c:v>0.43023282607407348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7C-4EE4-89E8-A66076178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9015456"/>
        <c:axId val="679013160"/>
      </c:scatterChart>
      <c:valAx>
        <c:axId val="679015456"/>
        <c:scaling>
          <c:orientation val="minMax"/>
          <c:max val="50"/>
          <c:min val="10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9013160"/>
        <c:crossesAt val="0.1"/>
        <c:crossBetween val="midCat"/>
        <c:majorUnit val="10"/>
      </c:valAx>
      <c:valAx>
        <c:axId val="679013160"/>
        <c:scaling>
          <c:logBase val="10"/>
          <c:orientation val="minMax"/>
        </c:scaling>
        <c:delete val="0"/>
        <c:axPos val="l"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9015456"/>
        <c:crossesAt val="1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3320607947262406"/>
          <c:y val="0.19373993095512082"/>
          <c:w val="0.81901717634132942"/>
          <c:h val="0.72249358933700603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'Таблица полная Grt'!$BL$2:$BL$25</c:f>
              <c:numCache>
                <c:formatCode>General</c:formatCode>
                <c:ptCount val="24"/>
                <c:pt idx="0">
                  <c:v>6.7867291376114233E-2</c:v>
                </c:pt>
                <c:pt idx="1">
                  <c:v>0.24388826695921206</c:v>
                </c:pt>
                <c:pt idx="2">
                  <c:v>0.85180688878177524</c:v>
                </c:pt>
                <c:pt idx="3">
                  <c:v>0.39923353363868869</c:v>
                </c:pt>
                <c:pt idx="4">
                  <c:v>1.5011958309111628</c:v>
                </c:pt>
                <c:pt idx="5">
                  <c:v>1.1480516713709854</c:v>
                </c:pt>
                <c:pt idx="6">
                  <c:v>1.1830228609386466</c:v>
                </c:pt>
                <c:pt idx="7">
                  <c:v>1.307977445279876</c:v>
                </c:pt>
                <c:pt idx="8">
                  <c:v>1.0860642531121767</c:v>
                </c:pt>
                <c:pt idx="9">
                  <c:v>0.25972136081922276</c:v>
                </c:pt>
                <c:pt idx="10">
                  <c:v>0.17386631622706236</c:v>
                </c:pt>
                <c:pt idx="11">
                  <c:v>1.2369472682138363</c:v>
                </c:pt>
                <c:pt idx="12">
                  <c:v>0.88256645430674951</c:v>
                </c:pt>
                <c:pt idx="13">
                  <c:v>0.61933663530386873</c:v>
                </c:pt>
                <c:pt idx="14">
                  <c:v>1.0108490379545181</c:v>
                </c:pt>
                <c:pt idx="15">
                  <c:v>0.99184253949895573</c:v>
                </c:pt>
                <c:pt idx="16">
                  <c:v>1.2393367449753452</c:v>
                </c:pt>
                <c:pt idx="17">
                  <c:v>0.35550655120970992</c:v>
                </c:pt>
                <c:pt idx="18">
                  <c:v>0.76189666347559071</c:v>
                </c:pt>
                <c:pt idx="19">
                  <c:v>1.1992913427798517</c:v>
                </c:pt>
                <c:pt idx="20">
                  <c:v>0.58308468141907888</c:v>
                </c:pt>
                <c:pt idx="21">
                  <c:v>4.6929121761308155</c:v>
                </c:pt>
                <c:pt idx="22">
                  <c:v>3.0264050933288904</c:v>
                </c:pt>
                <c:pt idx="23">
                  <c:v>7.9478076661695676</c:v>
                </c:pt>
              </c:numCache>
            </c:numRef>
          </c:xVal>
          <c:yVal>
            <c:numRef>
              <c:f>'Таблица полная Grt'!$BK$2:$BK$25</c:f>
              <c:numCache>
                <c:formatCode>General</c:formatCode>
                <c:ptCount val="24"/>
                <c:pt idx="0">
                  <c:v>14.349821328671059</c:v>
                </c:pt>
                <c:pt idx="1">
                  <c:v>9.6547104746925516</c:v>
                </c:pt>
                <c:pt idx="2">
                  <c:v>7.5600378944561424</c:v>
                </c:pt>
                <c:pt idx="3">
                  <c:v>22.833948783230685</c:v>
                </c:pt>
                <c:pt idx="4">
                  <c:v>0.84974698245073377</c:v>
                </c:pt>
                <c:pt idx="5">
                  <c:v>3.8867910640443291</c:v>
                </c:pt>
                <c:pt idx="6">
                  <c:v>3.2130403069487206</c:v>
                </c:pt>
                <c:pt idx="7">
                  <c:v>6.9694780427374461</c:v>
                </c:pt>
                <c:pt idx="8">
                  <c:v>3.8165632234314826</c:v>
                </c:pt>
                <c:pt idx="9">
                  <c:v>9.0513542114006551</c:v>
                </c:pt>
                <c:pt idx="10">
                  <c:v>4.5154591762054874</c:v>
                </c:pt>
                <c:pt idx="11">
                  <c:v>10.34193836217319</c:v>
                </c:pt>
                <c:pt idx="12">
                  <c:v>9.4755479889000007</c:v>
                </c:pt>
                <c:pt idx="13">
                  <c:v>1.4557240636475401</c:v>
                </c:pt>
                <c:pt idx="14">
                  <c:v>2.6460685534025536</c:v>
                </c:pt>
                <c:pt idx="15">
                  <c:v>2.4912340965814894</c:v>
                </c:pt>
                <c:pt idx="16">
                  <c:v>1.7959570743012974</c:v>
                </c:pt>
                <c:pt idx="17">
                  <c:v>1.5888807082078416</c:v>
                </c:pt>
                <c:pt idx="18">
                  <c:v>1.6854714029094744</c:v>
                </c:pt>
                <c:pt idx="19">
                  <c:v>2.3304522354606108</c:v>
                </c:pt>
                <c:pt idx="20">
                  <c:v>2.3554697203639772</c:v>
                </c:pt>
                <c:pt idx="21">
                  <c:v>0.58291391080465771</c:v>
                </c:pt>
                <c:pt idx="22">
                  <c:v>4.4612746507177929</c:v>
                </c:pt>
                <c:pt idx="23">
                  <c:v>0.43023282607407348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65-4004-959E-EF8A7FB065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0111544"/>
        <c:axId val="460110560"/>
      </c:scatterChart>
      <c:valAx>
        <c:axId val="460111544"/>
        <c:scaling>
          <c:logBase val="10"/>
          <c:orientation val="minMax"/>
          <c:max val="100"/>
          <c:min val="0.1"/>
        </c:scaling>
        <c:delete val="0"/>
        <c:axPos val="b"/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0110560"/>
        <c:crossesAt val="0.1"/>
        <c:crossBetween val="midCat"/>
      </c:valAx>
      <c:valAx>
        <c:axId val="460110560"/>
        <c:scaling>
          <c:logBase val="10"/>
          <c:orientation val="minMax"/>
          <c:max val="100"/>
          <c:min val="0.1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0111544"/>
        <c:crossesAt val="0.1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La/Yb</a:t>
            </a:r>
            <a:r>
              <a:rPr lang="en-US" baseline="0"/>
              <a:t> -Zr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'Таблица полная Grt'!$AG$2:$AG$25</c:f>
              <c:numCache>
                <c:formatCode>0.00</c:formatCode>
                <c:ptCount val="24"/>
                <c:pt idx="0">
                  <c:v>733.82623374611546</c:v>
                </c:pt>
                <c:pt idx="1">
                  <c:v>347.85326018920472</c:v>
                </c:pt>
                <c:pt idx="2">
                  <c:v>1058.889235648259</c:v>
                </c:pt>
                <c:pt idx="3">
                  <c:v>158.05261605258315</c:v>
                </c:pt>
                <c:pt idx="4">
                  <c:v>16400.555297654599</c:v>
                </c:pt>
                <c:pt idx="5">
                  <c:v>5425.0500160606989</c:v>
                </c:pt>
                <c:pt idx="6">
                  <c:v>3931.3464609549342</c:v>
                </c:pt>
                <c:pt idx="7">
                  <c:v>1944.0572688955365</c:v>
                </c:pt>
                <c:pt idx="8">
                  <c:v>1958.3456603552409</c:v>
                </c:pt>
                <c:pt idx="9">
                  <c:v>194.38244268066063</c:v>
                </c:pt>
                <c:pt idx="10">
                  <c:v>58.95898954732575</c:v>
                </c:pt>
                <c:pt idx="11">
                  <c:v>1272.3555147413751</c:v>
                </c:pt>
                <c:pt idx="12">
                  <c:v>496.65317112482819</c:v>
                </c:pt>
                <c:pt idx="13">
                  <c:v>4673.9026749723071</c:v>
                </c:pt>
                <c:pt idx="14">
                  <c:v>696.98624074922475</c:v>
                </c:pt>
                <c:pt idx="15">
                  <c:v>8252.004401415983</c:v>
                </c:pt>
                <c:pt idx="16">
                  <c:v>8953.2925517333297</c:v>
                </c:pt>
                <c:pt idx="17">
                  <c:v>7061.1784261109005</c:v>
                </c:pt>
                <c:pt idx="18">
                  <c:v>2203.0679845882592</c:v>
                </c:pt>
                <c:pt idx="19">
                  <c:v>6770.9198031620072</c:v>
                </c:pt>
                <c:pt idx="20">
                  <c:v>2415.2676613173226</c:v>
                </c:pt>
                <c:pt idx="21">
                  <c:v>63250.07031067057</c:v>
                </c:pt>
                <c:pt idx="22">
                  <c:v>4692.2572296581966</c:v>
                </c:pt>
                <c:pt idx="23">
                  <c:v>75783.191777227083</c:v>
                </c:pt>
              </c:numCache>
            </c:numRef>
          </c:xVal>
          <c:yVal>
            <c:numRef>
              <c:f>'Таблица полная Grt'!$BN$2:$BN$25</c:f>
              <c:numCache>
                <c:formatCode>General</c:formatCode>
                <c:ptCount val="24"/>
                <c:pt idx="0">
                  <c:v>211.43942888696822</c:v>
                </c:pt>
                <c:pt idx="1">
                  <c:v>39.586613144892318</c:v>
                </c:pt>
                <c:pt idx="2">
                  <c:v>8.8752955558603741</c:v>
                </c:pt>
                <c:pt idx="3">
                  <c:v>57.194466043765978</c:v>
                </c:pt>
                <c:pt idx="4">
                  <c:v>0.56604672418719215</c:v>
                </c:pt>
                <c:pt idx="5">
                  <c:v>3.3855541183114028</c:v>
                </c:pt>
                <c:pt idx="6">
                  <c:v>2.7159579185134222</c:v>
                </c:pt>
                <c:pt idx="7">
                  <c:v>5.3284390093180418</c:v>
                </c:pt>
                <c:pt idx="8">
                  <c:v>3.514122863812994</c:v>
                </c:pt>
                <c:pt idx="9">
                  <c:v>34.850249447525364</c:v>
                </c:pt>
                <c:pt idx="10">
                  <c:v>25.970868160043608</c:v>
                </c:pt>
                <c:pt idx="11">
                  <c:v>8.3608563015843416</c:v>
                </c:pt>
                <c:pt idx="12">
                  <c:v>10.736356387285289</c:v>
                </c:pt>
                <c:pt idx="13">
                  <c:v>2.3504568931778271</c:v>
                </c:pt>
                <c:pt idx="14">
                  <c:v>2.617669359172512</c:v>
                </c:pt>
                <c:pt idx="15">
                  <c:v>2.5117233808503254</c:v>
                </c:pt>
                <c:pt idx="16">
                  <c:v>1.4491275931119314</c:v>
                </c:pt>
                <c:pt idx="17">
                  <c:v>4.4693429777910785</c:v>
                </c:pt>
                <c:pt idx="18">
                  <c:v>2.2122047302592929</c:v>
                </c:pt>
                <c:pt idx="19">
                  <c:v>1.9431910765392733</c:v>
                </c:pt>
                <c:pt idx="20">
                  <c:v>4.0396700435198651</c:v>
                </c:pt>
                <c:pt idx="21">
                  <c:v>0.12421155328017562</c:v>
                </c:pt>
                <c:pt idx="22">
                  <c:v>1.4741168195070078</c:v>
                </c:pt>
                <c:pt idx="23">
                  <c:v>5.4132264411152202E-2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28-476F-AF1C-40F3DFF4F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9021688"/>
        <c:axId val="679018408"/>
      </c:scatterChart>
      <c:valAx>
        <c:axId val="679021688"/>
        <c:scaling>
          <c:logBase val="10"/>
          <c:orientation val="minMax"/>
          <c:max val="10000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9018408"/>
        <c:crosses val="autoZero"/>
        <c:crossBetween val="midCat"/>
      </c:valAx>
      <c:valAx>
        <c:axId val="679018408"/>
        <c:scaling>
          <c:logBase val="10"/>
          <c:orientation val="minMax"/>
          <c:max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9021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La/Yb</a:t>
            </a:r>
            <a:r>
              <a:rPr lang="en-US" baseline="0"/>
              <a:t> -Ta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'Таблица полная Grt'!$AP$2:$AP$25</c:f>
              <c:numCache>
                <c:formatCode>0.00</c:formatCode>
                <c:ptCount val="24"/>
                <c:pt idx="0">
                  <c:v>8.5992775472433998</c:v>
                </c:pt>
                <c:pt idx="1">
                  <c:v>8.4415199242474035</c:v>
                </c:pt>
                <c:pt idx="2">
                  <c:v>9.0835699889750678</c:v>
                </c:pt>
                <c:pt idx="3">
                  <c:v>12.536784107077985</c:v>
                </c:pt>
                <c:pt idx="4">
                  <c:v>37.718939795027836</c:v>
                </c:pt>
                <c:pt idx="5">
                  <c:v>15.079261771914025</c:v>
                </c:pt>
                <c:pt idx="6">
                  <c:v>11.802761548967828</c:v>
                </c:pt>
                <c:pt idx="7">
                  <c:v>33.644576362136284</c:v>
                </c:pt>
                <c:pt idx="8">
                  <c:v>45.022409532690659</c:v>
                </c:pt>
                <c:pt idx="9">
                  <c:v>3.5139397207705767</c:v>
                </c:pt>
                <c:pt idx="10">
                  <c:v>2.4100090539886878</c:v>
                </c:pt>
                <c:pt idx="11">
                  <c:v>18.564141668104277</c:v>
                </c:pt>
                <c:pt idx="12">
                  <c:v>2.7373581448993725</c:v>
                </c:pt>
                <c:pt idx="13">
                  <c:v>21.591096373464094</c:v>
                </c:pt>
                <c:pt idx="14">
                  <c:v>1.2296300026489009</c:v>
                </c:pt>
                <c:pt idx="15">
                  <c:v>43.093545368846392</c:v>
                </c:pt>
                <c:pt idx="16">
                  <c:v>45.339977779705073</c:v>
                </c:pt>
                <c:pt idx="17">
                  <c:v>25.282921077782518</c:v>
                </c:pt>
                <c:pt idx="18">
                  <c:v>5.9605493201961508</c:v>
                </c:pt>
                <c:pt idx="19">
                  <c:v>36.135516792163251</c:v>
                </c:pt>
                <c:pt idx="20">
                  <c:v>11.421511722262949</c:v>
                </c:pt>
                <c:pt idx="21">
                  <c:v>64.831412746477866</c:v>
                </c:pt>
                <c:pt idx="22">
                  <c:v>7.9857191171147859</c:v>
                </c:pt>
                <c:pt idx="23">
                  <c:v>90.86119918487384</c:v>
                </c:pt>
              </c:numCache>
            </c:numRef>
          </c:xVal>
          <c:yVal>
            <c:numRef>
              <c:f>'Таблица полная Grt'!$BN$2:$BN$25</c:f>
              <c:numCache>
                <c:formatCode>General</c:formatCode>
                <c:ptCount val="24"/>
                <c:pt idx="0">
                  <c:v>211.43942888696822</c:v>
                </c:pt>
                <c:pt idx="1">
                  <c:v>39.586613144892318</c:v>
                </c:pt>
                <c:pt idx="2">
                  <c:v>8.8752955558603741</c:v>
                </c:pt>
                <c:pt idx="3">
                  <c:v>57.194466043765978</c:v>
                </c:pt>
                <c:pt idx="4">
                  <c:v>0.56604672418719215</c:v>
                </c:pt>
                <c:pt idx="5">
                  <c:v>3.3855541183114028</c:v>
                </c:pt>
                <c:pt idx="6">
                  <c:v>2.7159579185134222</c:v>
                </c:pt>
                <c:pt idx="7">
                  <c:v>5.3284390093180418</c:v>
                </c:pt>
                <c:pt idx="8">
                  <c:v>3.514122863812994</c:v>
                </c:pt>
                <c:pt idx="9">
                  <c:v>34.850249447525364</c:v>
                </c:pt>
                <c:pt idx="10">
                  <c:v>25.970868160043608</c:v>
                </c:pt>
                <c:pt idx="11">
                  <c:v>8.3608563015843416</c:v>
                </c:pt>
                <c:pt idx="12">
                  <c:v>10.736356387285289</c:v>
                </c:pt>
                <c:pt idx="13">
                  <c:v>2.3504568931778271</c:v>
                </c:pt>
                <c:pt idx="14">
                  <c:v>2.617669359172512</c:v>
                </c:pt>
                <c:pt idx="15">
                  <c:v>2.5117233808503254</c:v>
                </c:pt>
                <c:pt idx="16">
                  <c:v>1.4491275931119314</c:v>
                </c:pt>
                <c:pt idx="17">
                  <c:v>4.4693429777910785</c:v>
                </c:pt>
                <c:pt idx="18">
                  <c:v>2.2122047302592929</c:v>
                </c:pt>
                <c:pt idx="19">
                  <c:v>1.9431910765392733</c:v>
                </c:pt>
                <c:pt idx="20">
                  <c:v>4.0396700435198651</c:v>
                </c:pt>
                <c:pt idx="21">
                  <c:v>0.12421155328017562</c:v>
                </c:pt>
                <c:pt idx="22">
                  <c:v>1.4741168195070078</c:v>
                </c:pt>
                <c:pt idx="23">
                  <c:v>5.4132264411152202E-2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F2-420F-87E1-DC567C01A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9021688"/>
        <c:axId val="679018408"/>
      </c:scatterChart>
      <c:valAx>
        <c:axId val="679021688"/>
        <c:scaling>
          <c:logBase val="10"/>
          <c:orientation val="minMax"/>
          <c:max val="10000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9018408"/>
        <c:crosses val="autoZero"/>
        <c:crossBetween val="midCat"/>
      </c:valAx>
      <c:valAx>
        <c:axId val="679018408"/>
        <c:scaling>
          <c:logBase val="10"/>
          <c:orientation val="minMax"/>
          <c:max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9021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'для графера'!$B$1:$N$1</c:f>
              <c:strCache>
                <c:ptCount val="13"/>
                <c:pt idx="0">
                  <c:v>La</c:v>
                </c:pt>
                <c:pt idx="1">
                  <c:v>Ce</c:v>
                </c:pt>
                <c:pt idx="2">
                  <c:v>Pr</c:v>
                </c:pt>
                <c:pt idx="3">
                  <c:v>Nd</c:v>
                </c:pt>
                <c:pt idx="4">
                  <c:v>Sm</c:v>
                </c:pt>
                <c:pt idx="5">
                  <c:v>Eu </c:v>
                </c:pt>
                <c:pt idx="6">
                  <c:v>Gd</c:v>
                </c:pt>
                <c:pt idx="7">
                  <c:v>Tb</c:v>
                </c:pt>
                <c:pt idx="8">
                  <c:v>Dy</c:v>
                </c:pt>
                <c:pt idx="9">
                  <c:v>Ho</c:v>
                </c:pt>
                <c:pt idx="10">
                  <c:v>Er </c:v>
                </c:pt>
                <c:pt idx="11">
                  <c:v>Tm</c:v>
                </c:pt>
                <c:pt idx="12">
                  <c:v>Yb </c:v>
                </c:pt>
              </c:strCache>
            </c:strRef>
          </c:cat>
          <c:val>
            <c:numRef>
              <c:f>'для графера'!$B$28:$N$28</c:f>
              <c:numCache>
                <c:formatCode>General</c:formatCode>
                <c:ptCount val="13"/>
                <c:pt idx="0">
                  <c:v>4363.0515071459204</c:v>
                </c:pt>
                <c:pt idx="1">
                  <c:v>2911.2738874390284</c:v>
                </c:pt>
                <c:pt idx="3">
                  <c:v>1020.0670481298849</c:v>
                </c:pt>
                <c:pt idx="4">
                  <c:v>296.10848792446654</c:v>
                </c:pt>
                <c:pt idx="5">
                  <c:v>191.2916629142033</c:v>
                </c:pt>
                <c:pt idx="6">
                  <c:v>267.42396449159799</c:v>
                </c:pt>
                <c:pt idx="8">
                  <c:v>65.353796623492059</c:v>
                </c:pt>
                <c:pt idx="9">
                  <c:v>54.144276306277895</c:v>
                </c:pt>
                <c:pt idx="10">
                  <c:v>47.27397839682002</c:v>
                </c:pt>
                <c:pt idx="12">
                  <c:v>20.634994760028086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D1-4BB3-B8A2-FE8C1842D0D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'для графера'!$B$29:$N$29</c:f>
              <c:numCache>
                <c:formatCode>General</c:formatCode>
                <c:ptCount val="13"/>
                <c:pt idx="0">
                  <c:v>1035.0994339905019</c:v>
                </c:pt>
                <c:pt idx="1">
                  <c:v>975.14339960782831</c:v>
                </c:pt>
                <c:pt idx="3">
                  <c:v>597.13967899222723</c:v>
                </c:pt>
                <c:pt idx="4">
                  <c:v>252.44860708640482</c:v>
                </c:pt>
                <c:pt idx="5">
                  <c:v>179.14956650303668</c:v>
                </c:pt>
                <c:pt idx="6">
                  <c:v>117.85759891525298</c:v>
                </c:pt>
                <c:pt idx="8">
                  <c:v>51.136040033059423</c:v>
                </c:pt>
                <c:pt idx="9">
                  <c:v>45.486206964831531</c:v>
                </c:pt>
                <c:pt idx="10">
                  <c:v>29.8355906929166</c:v>
                </c:pt>
                <c:pt idx="12">
                  <c:v>26.14771387999016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D1-4BB3-B8A2-FE8C1842D0D1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'для графера'!$B$30:$N$30</c:f>
              <c:numCache>
                <c:formatCode>General</c:formatCode>
                <c:ptCount val="13"/>
                <c:pt idx="0">
                  <c:v>310.14223825910921</c:v>
                </c:pt>
                <c:pt idx="1">
                  <c:v>381.74081557491957</c:v>
                </c:pt>
                <c:pt idx="3">
                  <c:v>376.29119714095037</c:v>
                </c:pt>
                <c:pt idx="4">
                  <c:v>264.18129505130787</c:v>
                </c:pt>
                <c:pt idx="5">
                  <c:v>196.15727715488859</c:v>
                </c:pt>
                <c:pt idx="6">
                  <c:v>162.77301393177515</c:v>
                </c:pt>
                <c:pt idx="8">
                  <c:v>81.228398904333602</c:v>
                </c:pt>
                <c:pt idx="9">
                  <c:v>66.432594625915272</c:v>
                </c:pt>
                <c:pt idx="10">
                  <c:v>60.095580774601352</c:v>
                </c:pt>
                <c:pt idx="12">
                  <c:v>34.944440588721768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D1-4BB3-B8A2-FE8C1842D0D1}"/>
            </c:ext>
          </c:extLst>
        </c:ser>
        <c:ser>
          <c:idx val="3"/>
          <c:order val="3"/>
          <c:tx>
            <c:strRef>
              <c:f>'для графера'!$A$31</c:f>
              <c:strCache>
                <c:ptCount val="1"/>
                <c:pt idx="0">
                  <c:v>21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'для графера'!$B$31:$N$31</c:f>
              <c:numCache>
                <c:formatCode>General</c:formatCode>
                <c:ptCount val="13"/>
                <c:pt idx="0">
                  <c:v>503.17389345518023</c:v>
                </c:pt>
                <c:pt idx="1">
                  <c:v>685.11591774247154</c:v>
                </c:pt>
                <c:pt idx="3">
                  <c:v>536.8323873938391</c:v>
                </c:pt>
                <c:pt idx="4">
                  <c:v>200.88389151884866</c:v>
                </c:pt>
                <c:pt idx="5">
                  <c:v>120.39231451748871</c:v>
                </c:pt>
                <c:pt idx="6">
                  <c:v>86.361000500431274</c:v>
                </c:pt>
                <c:pt idx="8">
                  <c:v>37.706527379801585</c:v>
                </c:pt>
                <c:pt idx="9">
                  <c:v>30.306406354958646</c:v>
                </c:pt>
                <c:pt idx="10">
                  <c:v>22.686589080815381</c:v>
                </c:pt>
                <c:pt idx="12">
                  <c:v>8.7975975345262381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9D1-4BB3-B8A2-FE8C1842D0D1}"/>
            </c:ext>
          </c:extLst>
        </c:ser>
        <c:ser>
          <c:idx val="4"/>
          <c:order val="4"/>
          <c:tx>
            <c:strRef>
              <c:f>'для графера'!$A$32</c:f>
              <c:strCache>
                <c:ptCount val="1"/>
                <c:pt idx="0">
                  <c:v>26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'для графера'!$B$32:$N$32</c:f>
              <c:numCache>
                <c:formatCode>General</c:formatCode>
                <c:ptCount val="13"/>
                <c:pt idx="0">
                  <c:v>465.89738201676533</c:v>
                </c:pt>
                <c:pt idx="1">
                  <c:v>454.28045734804238</c:v>
                </c:pt>
                <c:pt idx="3">
                  <c:v>485.59774382890254</c:v>
                </c:pt>
                <c:pt idx="4">
                  <c:v>699.40320751599347</c:v>
                </c:pt>
                <c:pt idx="5">
                  <c:v>745.07829011771094</c:v>
                </c:pt>
                <c:pt idx="6">
                  <c:v>635.23873641395755</c:v>
                </c:pt>
                <c:pt idx="8">
                  <c:v>795.86071082383512</c:v>
                </c:pt>
                <c:pt idx="9">
                  <c:v>812.28722882202055</c:v>
                </c:pt>
                <c:pt idx="10">
                  <c:v>937.97776288425052</c:v>
                </c:pt>
                <c:pt idx="12">
                  <c:v>823.07230500408764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9D1-4BB3-B8A2-FE8C1842D0D1}"/>
            </c:ext>
          </c:extLst>
        </c:ser>
        <c:ser>
          <c:idx val="5"/>
          <c:order val="5"/>
          <c:tx>
            <c:strRef>
              <c:f>'для графера'!$A$33</c:f>
              <c:strCache>
                <c:ptCount val="1"/>
                <c:pt idx="0">
                  <c:v>27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'для графера'!$B$33:$N$33</c:f>
              <c:numCache>
                <c:formatCode>General</c:formatCode>
                <c:ptCount val="13"/>
                <c:pt idx="0">
                  <c:v>505.83475894444399</c:v>
                </c:pt>
                <c:pt idx="1">
                  <c:v>755.99495961878665</c:v>
                </c:pt>
                <c:pt idx="3">
                  <c:v>922.94988510942528</c:v>
                </c:pt>
                <c:pt idx="4">
                  <c:v>580.72444044370843</c:v>
                </c:pt>
                <c:pt idx="5">
                  <c:v>444.43067606820938</c:v>
                </c:pt>
                <c:pt idx="6">
                  <c:v>316.30156103401691</c:v>
                </c:pt>
                <c:pt idx="8">
                  <c:v>208.44313289185502</c:v>
                </c:pt>
                <c:pt idx="9">
                  <c:v>182.16068801460023</c:v>
                </c:pt>
                <c:pt idx="10">
                  <c:v>172.16484028266817</c:v>
                </c:pt>
                <c:pt idx="12">
                  <c:v>149.40973951901759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9D1-4BB3-B8A2-FE8C1842D0D1}"/>
            </c:ext>
          </c:extLst>
        </c:ser>
        <c:ser>
          <c:idx val="6"/>
          <c:order val="6"/>
          <c:tx>
            <c:strRef>
              <c:f>'для графера'!$A$34</c:f>
              <c:strCache>
                <c:ptCount val="1"/>
                <c:pt idx="0">
                  <c:v>28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'для графера'!$B$34:$N$34</c:f>
              <c:numCache>
                <c:formatCode>General</c:formatCode>
                <c:ptCount val="13"/>
                <c:pt idx="0">
                  <c:v>473.71609298380309</c:v>
                </c:pt>
                <c:pt idx="1">
                  <c:v>791.96321059812726</c:v>
                </c:pt>
                <c:pt idx="3">
                  <c:v>930.14521298083673</c:v>
                </c:pt>
                <c:pt idx="4">
                  <c:v>560.41696759437673</c:v>
                </c:pt>
                <c:pt idx="5">
                  <c:v>422.83019505814678</c:v>
                </c:pt>
                <c:pt idx="6">
                  <c:v>306.68502256120382</c:v>
                </c:pt>
                <c:pt idx="8">
                  <c:v>213.91406323926296</c:v>
                </c:pt>
                <c:pt idx="9">
                  <c:v>200.35372502741677</c:v>
                </c:pt>
                <c:pt idx="10">
                  <c:v>203.13361033916289</c:v>
                </c:pt>
                <c:pt idx="12">
                  <c:v>174.41952607391329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9D1-4BB3-B8A2-FE8C1842D0D1}"/>
            </c:ext>
          </c:extLst>
        </c:ser>
        <c:ser>
          <c:idx val="7"/>
          <c:order val="7"/>
          <c:tx>
            <c:strRef>
              <c:f>'для графера'!$A$35</c:f>
              <c:strCache>
                <c:ptCount val="1"/>
                <c:pt idx="0">
                  <c:v>32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'для графера'!$B$35:$N$35</c:f>
              <c:numCache>
                <c:formatCode>General</c:formatCode>
                <c:ptCount val="13"/>
                <c:pt idx="0">
                  <c:v>543.64826325864726</c:v>
                </c:pt>
                <c:pt idx="1">
                  <c:v>926.25048026004265</c:v>
                </c:pt>
                <c:pt idx="3">
                  <c:v>1142.1349347449232</c:v>
                </c:pt>
                <c:pt idx="4">
                  <c:v>711.07966650788694</c:v>
                </c:pt>
                <c:pt idx="5">
                  <c:v>524.54599191817556</c:v>
                </c:pt>
                <c:pt idx="6">
                  <c:v>317.58470756633483</c:v>
                </c:pt>
                <c:pt idx="8">
                  <c:v>186.76957776909327</c:v>
                </c:pt>
                <c:pt idx="9">
                  <c:v>156.74108506359698</c:v>
                </c:pt>
                <c:pt idx="10">
                  <c:v>129.5249997718314</c:v>
                </c:pt>
                <c:pt idx="12">
                  <c:v>102.02767870814493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9D1-4BB3-B8A2-FE8C1842D0D1}"/>
            </c:ext>
          </c:extLst>
        </c:ser>
        <c:ser>
          <c:idx val="8"/>
          <c:order val="8"/>
          <c:tx>
            <c:strRef>
              <c:f>'для графера'!$A$36</c:f>
              <c:strCache>
                <c:ptCount val="1"/>
                <c:pt idx="0">
                  <c:v>33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'для графера'!$B$36:$N$36</c:f>
              <c:numCache>
                <c:formatCode>General</c:formatCode>
                <c:ptCount val="13"/>
                <c:pt idx="0">
                  <c:v>749.03458993383276</c:v>
                </c:pt>
                <c:pt idx="1">
                  <c:v>1283.6677676011973</c:v>
                </c:pt>
                <c:pt idx="3">
                  <c:v>1394.5829064284014</c:v>
                </c:pt>
                <c:pt idx="4">
                  <c:v>813.4996924716736</c:v>
                </c:pt>
                <c:pt idx="5">
                  <c:v>558.8637205370843</c:v>
                </c:pt>
                <c:pt idx="6">
                  <c:v>335.68033467192754</c:v>
                </c:pt>
                <c:pt idx="8">
                  <c:v>274.15071581713363</c:v>
                </c:pt>
                <c:pt idx="9">
                  <c:v>250.82532637637826</c:v>
                </c:pt>
                <c:pt idx="10">
                  <c:v>253.23863491620659</c:v>
                </c:pt>
                <c:pt idx="12">
                  <c:v>213.14980123406781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9D1-4BB3-B8A2-FE8C1842D0D1}"/>
            </c:ext>
          </c:extLst>
        </c:ser>
        <c:ser>
          <c:idx val="9"/>
          <c:order val="9"/>
          <c:tx>
            <c:strRef>
              <c:f>'для графера'!$A$37</c:f>
              <c:strCache>
                <c:ptCount val="1"/>
                <c:pt idx="0">
                  <c:v>44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'для графера'!$B$37:$N$37</c:f>
              <c:numCache>
                <c:formatCode>General</c:formatCode>
                <c:ptCount val="13"/>
                <c:pt idx="0">
                  <c:v>279.13384804638883</c:v>
                </c:pt>
                <c:pt idx="1">
                  <c:v>275.38335645927447</c:v>
                </c:pt>
                <c:pt idx="3">
                  <c:v>185.15752756522721</c:v>
                </c:pt>
                <c:pt idx="4">
                  <c:v>72.49702286531425</c:v>
                </c:pt>
                <c:pt idx="5">
                  <c:v>50.077645141973349</c:v>
                </c:pt>
                <c:pt idx="6">
                  <c:v>43.081679924074052</c:v>
                </c:pt>
                <c:pt idx="8">
                  <c:v>21.689749803107855</c:v>
                </c:pt>
                <c:pt idx="9">
                  <c:v>18.835225644908714</c:v>
                </c:pt>
                <c:pt idx="10">
                  <c:v>16.331261534992215</c:v>
                </c:pt>
                <c:pt idx="12">
                  <c:v>8.0095222407714921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9D1-4BB3-B8A2-FE8C1842D0D1}"/>
            </c:ext>
          </c:extLst>
        </c:ser>
        <c:ser>
          <c:idx val="10"/>
          <c:order val="10"/>
          <c:tx>
            <c:strRef>
              <c:f>'для графера'!$A$38</c:f>
              <c:strCache>
                <c:ptCount val="1"/>
                <c:pt idx="0">
                  <c:v>45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'для графера'!$B$38:$N$38</c:f>
              <c:numCache>
                <c:formatCode>General</c:formatCode>
                <c:ptCount val="13"/>
                <c:pt idx="0">
                  <c:v>336.85616024229915</c:v>
                </c:pt>
                <c:pt idx="1">
                  <c:v>248.63463157541392</c:v>
                </c:pt>
                <c:pt idx="3">
                  <c:v>146.22217384740017</c:v>
                </c:pt>
                <c:pt idx="4">
                  <c:v>58.567939679721576</c:v>
                </c:pt>
                <c:pt idx="5">
                  <c:v>39.129849645642174</c:v>
                </c:pt>
                <c:pt idx="6">
                  <c:v>28.245584655413094</c:v>
                </c:pt>
                <c:pt idx="8">
                  <c:v>19.233489107623132</c:v>
                </c:pt>
                <c:pt idx="9">
                  <c:v>17.615739187697116</c:v>
                </c:pt>
                <c:pt idx="10">
                  <c:v>19.780810417345599</c:v>
                </c:pt>
                <c:pt idx="12">
                  <c:v>12.970539073489853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9D1-4BB3-B8A2-FE8C1842D0D1}"/>
            </c:ext>
          </c:extLst>
        </c:ser>
        <c:ser>
          <c:idx val="11"/>
          <c:order val="11"/>
          <c:tx>
            <c:strRef>
              <c:f>'для графера'!$A$39</c:f>
              <c:strCache>
                <c:ptCount val="1"/>
                <c:pt idx="0">
                  <c:v>15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'для графера'!$B$39:$N$39</c:f>
              <c:numCache>
                <c:formatCode>General</c:formatCode>
                <c:ptCount val="13"/>
                <c:pt idx="0">
                  <c:v>366.85775538815096</c:v>
                </c:pt>
                <c:pt idx="1">
                  <c:v>689.96421936173533</c:v>
                </c:pt>
                <c:pt idx="3">
                  <c:v>838.50559544531598</c:v>
                </c:pt>
                <c:pt idx="4">
                  <c:v>453.7836983504331</c:v>
                </c:pt>
                <c:pt idx="5">
                  <c:v>323.88791180866895</c:v>
                </c:pt>
                <c:pt idx="6">
                  <c:v>214.12854609234657</c:v>
                </c:pt>
                <c:pt idx="8">
                  <c:v>120.53246714646413</c:v>
                </c:pt>
                <c:pt idx="9">
                  <c:v>95.888782931465414</c:v>
                </c:pt>
                <c:pt idx="10">
                  <c:v>72.615306508348013</c:v>
                </c:pt>
                <c:pt idx="12">
                  <c:v>43.878012269943355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9D1-4BB3-B8A2-FE8C1842D0D1}"/>
            </c:ext>
          </c:extLst>
        </c:ser>
        <c:ser>
          <c:idx val="12"/>
          <c:order val="12"/>
          <c:tx>
            <c:strRef>
              <c:f>'для графера'!$A$40</c:f>
              <c:strCache>
                <c:ptCount val="1"/>
                <c:pt idx="0">
                  <c:v>17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'для графера'!$B$40:$N$40</c:f>
              <c:numCache>
                <c:formatCode>General</c:formatCode>
                <c:ptCount val="13"/>
                <c:pt idx="0">
                  <c:v>96.958907976124706</c:v>
                </c:pt>
                <c:pt idx="1">
                  <c:v>131.63281468893675</c:v>
                </c:pt>
                <c:pt idx="3">
                  <c:v>159.93885748998991</c:v>
                </c:pt>
                <c:pt idx="4">
                  <c:v>85.572679625942797</c:v>
                </c:pt>
                <c:pt idx="5">
                  <c:v>60.673428963235828</c:v>
                </c:pt>
                <c:pt idx="6">
                  <c:v>36.56442670074567</c:v>
                </c:pt>
                <c:pt idx="8">
                  <c:v>19.508359771551472</c:v>
                </c:pt>
                <c:pt idx="9">
                  <c:v>16.736461364447095</c:v>
                </c:pt>
                <c:pt idx="10">
                  <c:v>15.445990001444651</c:v>
                </c:pt>
                <c:pt idx="12">
                  <c:v>9.0308950707849007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9D1-4BB3-B8A2-FE8C1842D0D1}"/>
            </c:ext>
          </c:extLst>
        </c:ser>
        <c:ser>
          <c:idx val="13"/>
          <c:order val="13"/>
          <c:tx>
            <c:strRef>
              <c:f>'для графера'!$A$41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'для графера'!$B$41:$N$41</c:f>
              <c:numCache>
                <c:formatCode>General</c:formatCode>
                <c:ptCount val="13"/>
                <c:pt idx="0">
                  <c:v>528.77049341373424</c:v>
                </c:pt>
                <c:pt idx="1">
                  <c:v>506.39014902031596</c:v>
                </c:pt>
                <c:pt idx="3">
                  <c:v>449.28455849202061</c:v>
                </c:pt>
                <c:pt idx="4">
                  <c:v>327.48693823882866</c:v>
                </c:pt>
                <c:pt idx="5">
                  <c:v>298.69229744491463</c:v>
                </c:pt>
                <c:pt idx="6">
                  <c:v>215.50381286470881</c:v>
                </c:pt>
                <c:pt idx="8">
                  <c:v>214.47905183977841</c:v>
                </c:pt>
                <c:pt idx="9">
                  <c:v>195.36797039358063</c:v>
                </c:pt>
                <c:pt idx="10">
                  <c:v>211.85995169627586</c:v>
                </c:pt>
                <c:pt idx="12">
                  <c:v>224.9649823183247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9D1-4BB3-B8A2-FE8C1842D0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8439904"/>
        <c:axId val="618440888"/>
      </c:lineChart>
      <c:catAx>
        <c:axId val="61843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8440888"/>
        <c:crosses val="autoZero"/>
        <c:auto val="1"/>
        <c:lblAlgn val="ctr"/>
        <c:lblOffset val="100"/>
        <c:noMultiLvlLbl val="0"/>
      </c:catAx>
      <c:valAx>
        <c:axId val="61844088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8439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La/Yb</a:t>
            </a:r>
            <a:r>
              <a:rPr lang="en-US" baseline="0"/>
              <a:t> -Ta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'Таблица полная Grt'!$AP$2:$AP$25</c:f>
              <c:numCache>
                <c:formatCode>0.00</c:formatCode>
                <c:ptCount val="24"/>
                <c:pt idx="0">
                  <c:v>8.5992775472433998</c:v>
                </c:pt>
                <c:pt idx="1">
                  <c:v>8.4415199242474035</c:v>
                </c:pt>
                <c:pt idx="2">
                  <c:v>9.0835699889750678</c:v>
                </c:pt>
                <c:pt idx="3">
                  <c:v>12.536784107077985</c:v>
                </c:pt>
                <c:pt idx="4">
                  <c:v>37.718939795027836</c:v>
                </c:pt>
                <c:pt idx="5">
                  <c:v>15.079261771914025</c:v>
                </c:pt>
                <c:pt idx="6">
                  <c:v>11.802761548967828</c:v>
                </c:pt>
                <c:pt idx="7">
                  <c:v>33.644576362136284</c:v>
                </c:pt>
                <c:pt idx="8">
                  <c:v>45.022409532690659</c:v>
                </c:pt>
                <c:pt idx="9">
                  <c:v>3.5139397207705767</c:v>
                </c:pt>
                <c:pt idx="10">
                  <c:v>2.4100090539886878</c:v>
                </c:pt>
                <c:pt idx="11">
                  <c:v>18.564141668104277</c:v>
                </c:pt>
                <c:pt idx="12">
                  <c:v>2.7373581448993725</c:v>
                </c:pt>
                <c:pt idx="13">
                  <c:v>21.591096373464094</c:v>
                </c:pt>
                <c:pt idx="14">
                  <c:v>1.2296300026489009</c:v>
                </c:pt>
                <c:pt idx="15">
                  <c:v>43.093545368846392</c:v>
                </c:pt>
                <c:pt idx="16">
                  <c:v>45.339977779705073</c:v>
                </c:pt>
                <c:pt idx="17">
                  <c:v>25.282921077782518</c:v>
                </c:pt>
                <c:pt idx="18">
                  <c:v>5.9605493201961508</c:v>
                </c:pt>
                <c:pt idx="19">
                  <c:v>36.135516792163251</c:v>
                </c:pt>
                <c:pt idx="20">
                  <c:v>11.421511722262949</c:v>
                </c:pt>
                <c:pt idx="21">
                  <c:v>64.831412746477866</c:v>
                </c:pt>
                <c:pt idx="22">
                  <c:v>7.9857191171147859</c:v>
                </c:pt>
                <c:pt idx="23">
                  <c:v>90.86119918487384</c:v>
                </c:pt>
              </c:numCache>
            </c:numRef>
          </c:xVal>
          <c:yVal>
            <c:numRef>
              <c:f>'Таблица полная Grt'!$BN$2:$BN$25</c:f>
              <c:numCache>
                <c:formatCode>General</c:formatCode>
                <c:ptCount val="24"/>
                <c:pt idx="0">
                  <c:v>211.43942888696822</c:v>
                </c:pt>
                <c:pt idx="1">
                  <c:v>39.586613144892318</c:v>
                </c:pt>
                <c:pt idx="2">
                  <c:v>8.8752955558603741</c:v>
                </c:pt>
                <c:pt idx="3">
                  <c:v>57.194466043765978</c:v>
                </c:pt>
                <c:pt idx="4">
                  <c:v>0.56604672418719215</c:v>
                </c:pt>
                <c:pt idx="5">
                  <c:v>3.3855541183114028</c:v>
                </c:pt>
                <c:pt idx="6">
                  <c:v>2.7159579185134222</c:v>
                </c:pt>
                <c:pt idx="7">
                  <c:v>5.3284390093180418</c:v>
                </c:pt>
                <c:pt idx="8">
                  <c:v>3.514122863812994</c:v>
                </c:pt>
                <c:pt idx="9">
                  <c:v>34.850249447525364</c:v>
                </c:pt>
                <c:pt idx="10">
                  <c:v>25.970868160043608</c:v>
                </c:pt>
                <c:pt idx="11">
                  <c:v>8.3608563015843416</c:v>
                </c:pt>
                <c:pt idx="12">
                  <c:v>10.736356387285289</c:v>
                </c:pt>
                <c:pt idx="13">
                  <c:v>2.3504568931778271</c:v>
                </c:pt>
                <c:pt idx="14">
                  <c:v>2.617669359172512</c:v>
                </c:pt>
                <c:pt idx="15">
                  <c:v>2.5117233808503254</c:v>
                </c:pt>
                <c:pt idx="16">
                  <c:v>1.4491275931119314</c:v>
                </c:pt>
                <c:pt idx="17">
                  <c:v>4.4693429777910785</c:v>
                </c:pt>
                <c:pt idx="18">
                  <c:v>2.2122047302592929</c:v>
                </c:pt>
                <c:pt idx="19">
                  <c:v>1.9431910765392733</c:v>
                </c:pt>
                <c:pt idx="20">
                  <c:v>4.0396700435198651</c:v>
                </c:pt>
                <c:pt idx="21">
                  <c:v>0.12421155328017562</c:v>
                </c:pt>
                <c:pt idx="22">
                  <c:v>1.4741168195070078</c:v>
                </c:pt>
                <c:pt idx="23">
                  <c:v>5.4132264411152202E-2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1F-410D-A549-E01F1199B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9021688"/>
        <c:axId val="679018408"/>
      </c:scatterChart>
      <c:valAx>
        <c:axId val="679021688"/>
        <c:scaling>
          <c:logBase val="10"/>
          <c:orientation val="minMax"/>
          <c:max val="10000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9018408"/>
        <c:crosses val="autoZero"/>
        <c:crossBetween val="midCat"/>
      </c:valAx>
      <c:valAx>
        <c:axId val="679018408"/>
        <c:scaling>
          <c:logBase val="10"/>
          <c:orientation val="minMax"/>
          <c:max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9021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499759405074365"/>
          <c:y val="6.0185185185185182E-2"/>
          <c:w val="0.80541907261592294"/>
          <c:h val="0.80926727909011376"/>
        </c:manualLayout>
      </c:layout>
      <c:scatterChart>
        <c:scatterStyle val="lineMarker"/>
        <c:varyColors val="0"/>
        <c:ser>
          <c:idx val="0"/>
          <c:order val="0"/>
          <c:tx>
            <c:v>центры турьяиты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генерации!$BK$2:$BK$3</c:f>
              <c:numCache>
                <c:formatCode>General</c:formatCode>
                <c:ptCount val="2"/>
                <c:pt idx="0">
                  <c:v>0.52462251972419094</c:v>
                </c:pt>
                <c:pt idx="1">
                  <c:v>0.38720954346666608</c:v>
                </c:pt>
              </c:numCache>
            </c:numRef>
          </c:xVal>
          <c:yVal>
            <c:numRef>
              <c:f>генерации!$AG$2:$AG$3</c:f>
              <c:numCache>
                <c:formatCode>0.00</c:formatCode>
                <c:ptCount val="2"/>
                <c:pt idx="0">
                  <c:v>63250.07031067057</c:v>
                </c:pt>
                <c:pt idx="1">
                  <c:v>75783.191777227083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E5-42D2-9FFB-042D40603222}"/>
            </c:ext>
          </c:extLst>
        </c:ser>
        <c:ser>
          <c:idx val="1"/>
          <c:order val="1"/>
          <c:tx>
            <c:strRef>
              <c:f>генерации!$B$5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92D05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генерации!$BK$5:$BK$11</c:f>
              <c:numCache>
                <c:formatCode>General</c:formatCode>
                <c:ptCount val="7"/>
                <c:pt idx="0">
                  <c:v>0</c:v>
                </c:pt>
                <c:pt idx="1">
                  <c:v>2.2421106869233407</c:v>
                </c:pt>
                <c:pt idx="2">
                  <c:v>1.6163613668711674</c:v>
                </c:pt>
                <c:pt idx="3">
                  <c:v>1.4299926373870573</c:v>
                </c:pt>
                <c:pt idx="4">
                  <c:v>0</c:v>
                </c:pt>
                <c:pt idx="5">
                  <c:v>2.0974070119145494</c:v>
                </c:pt>
                <c:pt idx="6">
                  <c:v>0</c:v>
                </c:pt>
              </c:numCache>
            </c:numRef>
          </c:xVal>
          <c:yVal>
            <c:numRef>
              <c:f>генерации!$AG$5:$AG$11</c:f>
              <c:numCache>
                <c:formatCode>0.00</c:formatCode>
                <c:ptCount val="7"/>
                <c:pt idx="1">
                  <c:v>8252.004401415983</c:v>
                </c:pt>
                <c:pt idx="2">
                  <c:v>8953.2925517333297</c:v>
                </c:pt>
                <c:pt idx="3">
                  <c:v>7061.1784261109005</c:v>
                </c:pt>
                <c:pt idx="5">
                  <c:v>6770.9198031620072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6E5-42D2-9FFB-042D40603222}"/>
            </c:ext>
          </c:extLst>
        </c:ser>
        <c:ser>
          <c:idx val="2"/>
          <c:order val="2"/>
          <c:tx>
            <c:v>основная масса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7030A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генерации!$BK$14:$BK$16</c:f>
              <c:numCache>
                <c:formatCode>General</c:formatCode>
                <c:ptCount val="3"/>
                <c:pt idx="0">
                  <c:v>12.914839195803951</c:v>
                </c:pt>
                <c:pt idx="1">
                  <c:v>8.6892394272232956</c:v>
                </c:pt>
                <c:pt idx="2">
                  <c:v>20.550553904907613</c:v>
                </c:pt>
              </c:numCache>
            </c:numRef>
          </c:xVal>
          <c:yVal>
            <c:numRef>
              <c:f>генерации!$AG$14:$AG$16</c:f>
              <c:numCache>
                <c:formatCode>0.00</c:formatCode>
                <c:ptCount val="3"/>
                <c:pt idx="0">
                  <c:v>733.82623374611546</c:v>
                </c:pt>
                <c:pt idx="1">
                  <c:v>347.85326018920472</c:v>
                </c:pt>
                <c:pt idx="2">
                  <c:v>158.05261605258315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6E5-42D2-9FFB-042D40603222}"/>
            </c:ext>
          </c:extLst>
        </c:ser>
        <c:ser>
          <c:idx val="3"/>
          <c:order val="3"/>
          <c:tx>
            <c:v>поздние каймы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6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генерации!$BK$18:$BK$21</c:f>
              <c:numCache>
                <c:formatCode>General</c:formatCode>
                <c:ptCount val="4"/>
                <c:pt idx="0">
                  <c:v>8.1462187902605869</c:v>
                </c:pt>
                <c:pt idx="1">
                  <c:v>4.0639132585849378</c:v>
                </c:pt>
                <c:pt idx="2">
                  <c:v>8.527993190010001</c:v>
                </c:pt>
                <c:pt idx="3">
                  <c:v>2.381461698062298</c:v>
                </c:pt>
              </c:numCache>
            </c:numRef>
          </c:xVal>
          <c:yVal>
            <c:numRef>
              <c:f>генерации!$AG$18:$AG$21</c:f>
              <c:numCache>
                <c:formatCode>0.00</c:formatCode>
                <c:ptCount val="4"/>
                <c:pt idx="0">
                  <c:v>194.38244268066063</c:v>
                </c:pt>
                <c:pt idx="1">
                  <c:v>58.95898954732575</c:v>
                </c:pt>
                <c:pt idx="2">
                  <c:v>496.65317112482819</c:v>
                </c:pt>
                <c:pt idx="3">
                  <c:v>696.98624074922475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6E5-42D2-9FFB-042D40603222}"/>
            </c:ext>
          </c:extLst>
        </c:ser>
        <c:ser>
          <c:idx val="4"/>
          <c:order val="4"/>
          <c:tx>
            <c:strRef>
              <c:f>генерации!$B$23</c:f>
              <c:strCache>
                <c:ptCount val="1"/>
                <c:pt idx="0">
                  <c:v>загнутые каймы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FF0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генерации!$BK$23:$BK$28</c:f>
              <c:numCache>
                <c:formatCode>General</c:formatCode>
                <c:ptCount val="6"/>
                <c:pt idx="0">
                  <c:v>3.498111957639896</c:v>
                </c:pt>
                <c:pt idx="1">
                  <c:v>2.8917362762538481</c:v>
                </c:pt>
                <c:pt idx="2">
                  <c:v>6.2725302384637009</c:v>
                </c:pt>
                <c:pt idx="3">
                  <c:v>3.4349069010883335</c:v>
                </c:pt>
                <c:pt idx="4">
                  <c:v>9.3077445259558704</c:v>
                </c:pt>
                <c:pt idx="5">
                  <c:v>4.015147185646013</c:v>
                </c:pt>
              </c:numCache>
            </c:numRef>
          </c:xVal>
          <c:yVal>
            <c:numRef>
              <c:f>генерации!$AG$23:$AG$28</c:f>
              <c:numCache>
                <c:formatCode>0.00</c:formatCode>
                <c:ptCount val="6"/>
                <c:pt idx="0">
                  <c:v>5425.0500160606989</c:v>
                </c:pt>
                <c:pt idx="1">
                  <c:v>3931.3464609549342</c:v>
                </c:pt>
                <c:pt idx="2">
                  <c:v>1944.0572688955365</c:v>
                </c:pt>
                <c:pt idx="3">
                  <c:v>1958.3456603552409</c:v>
                </c:pt>
                <c:pt idx="4">
                  <c:v>1272.3555147413751</c:v>
                </c:pt>
                <c:pt idx="5">
                  <c:v>4692.2572296581966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6E5-42D2-9FFB-042D40603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555704"/>
        <c:axId val="757553408"/>
      </c:scatterChart>
      <c:valAx>
        <c:axId val="757555704"/>
        <c:scaling>
          <c:logBase val="10"/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Sm/Yb</a:t>
                </a:r>
                <a:r>
                  <a:rPr lang="en-US" sz="14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</a:t>
                </a:r>
                <a:endParaRPr lang="ru-RU" sz="1400" baseline="-250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85000"/>
                <a:lumOff val="1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757553408"/>
        <c:crossesAt val="0.1"/>
        <c:crossBetween val="midCat"/>
      </c:valAx>
      <c:valAx>
        <c:axId val="757553408"/>
        <c:scaling>
          <c:logBase val="10"/>
          <c:orientation val="minMax"/>
          <c:min val="1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Zr, ppm</a:t>
                </a:r>
                <a:endParaRPr lang="ru-RU" sz="14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1.1111111111111112E-2"/>
              <c:y val="0.370976232137649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85000"/>
                <a:lumOff val="15000"/>
                <a:alpha val="96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757555704"/>
        <c:crossesAt val="0.1"/>
        <c:crossBetween val="midCat"/>
      </c:valAx>
      <c:spPr>
        <a:noFill/>
        <a:ln>
          <a:solidFill>
            <a:schemeClr val="tx1">
              <a:lumMod val="85000"/>
              <a:lumOff val="15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центры турьяиты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генерации!$BK$2:$BK$3</c:f>
              <c:numCache>
                <c:formatCode>General</c:formatCode>
                <c:ptCount val="2"/>
                <c:pt idx="0">
                  <c:v>0.52462251972419094</c:v>
                </c:pt>
                <c:pt idx="1">
                  <c:v>0.38720954346666608</c:v>
                </c:pt>
              </c:numCache>
            </c:numRef>
          </c:xVal>
          <c:yVal>
            <c:numRef>
              <c:f>генерации!$AV$2:$AV$3</c:f>
              <c:numCache>
                <c:formatCode>0.00</c:formatCode>
                <c:ptCount val="2"/>
                <c:pt idx="0">
                  <c:v>283.5432673396358</c:v>
                </c:pt>
                <c:pt idx="1">
                  <c:v>262.13160926345273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0B-4364-8F3C-CBC6AA0CF84A}"/>
            </c:ext>
          </c:extLst>
        </c:ser>
        <c:ser>
          <c:idx val="1"/>
          <c:order val="1"/>
          <c:tx>
            <c:strRef>
              <c:f>генерации!$B$5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генерации!$BK$5:$BK$11</c:f>
              <c:numCache>
                <c:formatCode>General</c:formatCode>
                <c:ptCount val="7"/>
                <c:pt idx="0">
                  <c:v>0</c:v>
                </c:pt>
                <c:pt idx="1">
                  <c:v>2.2421106869233407</c:v>
                </c:pt>
                <c:pt idx="2">
                  <c:v>1.6163613668711674</c:v>
                </c:pt>
                <c:pt idx="3">
                  <c:v>1.4299926373870573</c:v>
                </c:pt>
                <c:pt idx="4">
                  <c:v>0</c:v>
                </c:pt>
                <c:pt idx="5">
                  <c:v>2.0974070119145494</c:v>
                </c:pt>
                <c:pt idx="6">
                  <c:v>0</c:v>
                </c:pt>
              </c:numCache>
            </c:numRef>
          </c:xVal>
          <c:yVal>
            <c:numRef>
              <c:f>генерации!$AV$5:$AV$11</c:f>
              <c:numCache>
                <c:formatCode>0.00</c:formatCode>
                <c:ptCount val="7"/>
                <c:pt idx="1">
                  <c:v>4643.1748755097206</c:v>
                </c:pt>
                <c:pt idx="2">
                  <c:v>3137.99570192486</c:v>
                </c:pt>
                <c:pt idx="3">
                  <c:v>4707.2347391554658</c:v>
                </c:pt>
                <c:pt idx="5">
                  <c:v>3233.7511441514112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0B-4364-8F3C-CBC6AA0CF84A}"/>
            </c:ext>
          </c:extLst>
        </c:ser>
        <c:ser>
          <c:idx val="2"/>
          <c:order val="2"/>
          <c:tx>
            <c:v>основная масса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генерации!$BK$14:$BK$16</c:f>
              <c:numCache>
                <c:formatCode>General</c:formatCode>
                <c:ptCount val="3"/>
                <c:pt idx="0">
                  <c:v>12.914839195803951</c:v>
                </c:pt>
                <c:pt idx="1">
                  <c:v>8.6892394272232956</c:v>
                </c:pt>
                <c:pt idx="2">
                  <c:v>20.550553904907613</c:v>
                </c:pt>
              </c:numCache>
            </c:numRef>
          </c:xVal>
          <c:yVal>
            <c:numRef>
              <c:f>генерации!$AV$14:$AV$16</c:f>
              <c:numCache>
                <c:formatCode>0.00</c:formatCode>
                <c:ptCount val="3"/>
                <c:pt idx="0">
                  <c:v>344.4416643595747</c:v>
                </c:pt>
                <c:pt idx="1">
                  <c:v>253.57488293150232</c:v>
                </c:pt>
                <c:pt idx="2">
                  <c:v>1116.6029141456609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90B-4364-8F3C-CBC6AA0CF84A}"/>
            </c:ext>
          </c:extLst>
        </c:ser>
        <c:ser>
          <c:idx val="3"/>
          <c:order val="3"/>
          <c:tx>
            <c:v>поздние каймы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генерации!$BK$18:$BK$21</c:f>
              <c:numCache>
                <c:formatCode>General</c:formatCode>
                <c:ptCount val="4"/>
                <c:pt idx="0">
                  <c:v>8.1462187902605869</c:v>
                </c:pt>
                <c:pt idx="1">
                  <c:v>4.0639132585849378</c:v>
                </c:pt>
                <c:pt idx="2">
                  <c:v>8.527993190010001</c:v>
                </c:pt>
                <c:pt idx="3">
                  <c:v>2.381461698062298</c:v>
                </c:pt>
              </c:numCache>
            </c:numRef>
          </c:xVal>
          <c:yVal>
            <c:numRef>
              <c:f>генерации!$AV$18:$AV$21</c:f>
              <c:numCache>
                <c:formatCode>0.00</c:formatCode>
                <c:ptCount val="4"/>
                <c:pt idx="0">
                  <c:v>275.71449663398869</c:v>
                </c:pt>
                <c:pt idx="1">
                  <c:v>133.12032429804933</c:v>
                </c:pt>
                <c:pt idx="2">
                  <c:v>90.632214668630667</c:v>
                </c:pt>
                <c:pt idx="3">
                  <c:v>214.44473344892734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90B-4364-8F3C-CBC6AA0CF84A}"/>
            </c:ext>
          </c:extLst>
        </c:ser>
        <c:ser>
          <c:idx val="4"/>
          <c:order val="4"/>
          <c:tx>
            <c:strRef>
              <c:f>генерации!$B$23</c:f>
              <c:strCache>
                <c:ptCount val="1"/>
                <c:pt idx="0">
                  <c:v>загнутые каймы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генерации!$BK$23:$BK$28</c:f>
              <c:numCache>
                <c:formatCode>General</c:formatCode>
                <c:ptCount val="6"/>
                <c:pt idx="0">
                  <c:v>3.498111957639896</c:v>
                </c:pt>
                <c:pt idx="1">
                  <c:v>2.8917362762538481</c:v>
                </c:pt>
                <c:pt idx="2">
                  <c:v>6.2725302384637009</c:v>
                </c:pt>
                <c:pt idx="3">
                  <c:v>3.4349069010883335</c:v>
                </c:pt>
                <c:pt idx="4">
                  <c:v>9.3077445259558704</c:v>
                </c:pt>
                <c:pt idx="5">
                  <c:v>4.015147185646013</c:v>
                </c:pt>
              </c:numCache>
            </c:numRef>
          </c:xVal>
          <c:yVal>
            <c:numRef>
              <c:f>генерации!$AV$23:$AV$28</c:f>
              <c:numCache>
                <c:formatCode>0.00</c:formatCode>
                <c:ptCount val="6"/>
                <c:pt idx="0">
                  <c:v>2221.1471108833857</c:v>
                </c:pt>
                <c:pt idx="1">
                  <c:v>2613.7389273507029</c:v>
                </c:pt>
                <c:pt idx="2">
                  <c:v>3015.6365396037918</c:v>
                </c:pt>
                <c:pt idx="3">
                  <c:v>7070.5663180575084</c:v>
                </c:pt>
                <c:pt idx="4">
                  <c:v>567.37414395646579</c:v>
                </c:pt>
                <c:pt idx="5">
                  <c:v>346.14573047102573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90B-4364-8F3C-CBC6AA0CF8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555704"/>
        <c:axId val="757553408"/>
      </c:scatterChart>
      <c:valAx>
        <c:axId val="757555704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7553408"/>
        <c:crosses val="autoZero"/>
        <c:crossBetween val="midCat"/>
      </c:valAx>
      <c:valAx>
        <c:axId val="75755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7555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499759405074365"/>
          <c:y val="6.0185185185185182E-2"/>
          <c:w val="0.80541907261592294"/>
          <c:h val="0.80926727909011376"/>
        </c:manualLayout>
      </c:layout>
      <c:scatterChart>
        <c:scatterStyle val="lineMarker"/>
        <c:varyColors val="0"/>
        <c:ser>
          <c:idx val="0"/>
          <c:order val="0"/>
          <c:tx>
            <c:v>центры турьяиты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генерации!$BK$2:$BK$3</c:f>
              <c:numCache>
                <c:formatCode>General</c:formatCode>
                <c:ptCount val="2"/>
                <c:pt idx="0">
                  <c:v>0.52462251972419094</c:v>
                </c:pt>
                <c:pt idx="1">
                  <c:v>0.38720954346666608</c:v>
                </c:pt>
              </c:numCache>
            </c:numRef>
          </c:xVal>
          <c:yVal>
            <c:numRef>
              <c:f>генерации!$AZ$2:$AZ$3</c:f>
              <c:numCache>
                <c:formatCode>0.00</c:formatCode>
                <c:ptCount val="2"/>
                <c:pt idx="0">
                  <c:v>5.3177391205390299</c:v>
                </c:pt>
                <c:pt idx="1">
                  <c:v>3.3370304493083629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4B-4099-8482-A2C72420A5FC}"/>
            </c:ext>
          </c:extLst>
        </c:ser>
        <c:ser>
          <c:idx val="1"/>
          <c:order val="1"/>
          <c:tx>
            <c:strRef>
              <c:f>генерации!$B$5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92D05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генерации!$BK$5:$BK$11</c:f>
              <c:numCache>
                <c:formatCode>General</c:formatCode>
                <c:ptCount val="7"/>
                <c:pt idx="0">
                  <c:v>0</c:v>
                </c:pt>
                <c:pt idx="1">
                  <c:v>2.2421106869233407</c:v>
                </c:pt>
                <c:pt idx="2">
                  <c:v>1.6163613668711674</c:v>
                </c:pt>
                <c:pt idx="3">
                  <c:v>1.4299926373870573</c:v>
                </c:pt>
                <c:pt idx="4">
                  <c:v>0</c:v>
                </c:pt>
                <c:pt idx="5">
                  <c:v>2.0974070119145494</c:v>
                </c:pt>
                <c:pt idx="6">
                  <c:v>0</c:v>
                </c:pt>
              </c:numCache>
            </c:numRef>
          </c:xVal>
          <c:yVal>
            <c:numRef>
              <c:f>генерации!$AZ$5:$AZ$11</c:f>
              <c:numCache>
                <c:formatCode>0.00</c:formatCode>
                <c:ptCount val="7"/>
                <c:pt idx="1">
                  <c:v>8.9548100170221048</c:v>
                </c:pt>
                <c:pt idx="2">
                  <c:v>10.162889787478592</c:v>
                </c:pt>
                <c:pt idx="3">
                  <c:v>23.091757099620303</c:v>
                </c:pt>
                <c:pt idx="5">
                  <c:v>6.6425869121169363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4B-4099-8482-A2C72420A5FC}"/>
            </c:ext>
          </c:extLst>
        </c:ser>
        <c:ser>
          <c:idx val="2"/>
          <c:order val="2"/>
          <c:tx>
            <c:v>основная масса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7030A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генерации!$BK$14:$BK$16</c:f>
              <c:numCache>
                <c:formatCode>General</c:formatCode>
                <c:ptCount val="3"/>
                <c:pt idx="0">
                  <c:v>12.914839195803951</c:v>
                </c:pt>
                <c:pt idx="1">
                  <c:v>8.6892394272232956</c:v>
                </c:pt>
                <c:pt idx="2">
                  <c:v>20.550553904907613</c:v>
                </c:pt>
              </c:numCache>
            </c:numRef>
          </c:xVal>
          <c:yVal>
            <c:numRef>
              <c:f>генерации!$AZ$14:$AZ$16</c:f>
              <c:numCache>
                <c:formatCode>0.00</c:formatCode>
                <c:ptCount val="3"/>
                <c:pt idx="0">
                  <c:v>22.77207509508192</c:v>
                </c:pt>
                <c:pt idx="1">
                  <c:v>18.00900877338837</c:v>
                </c:pt>
                <c:pt idx="2">
                  <c:v>13.236568124860751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4B-4099-8482-A2C72420A5FC}"/>
            </c:ext>
          </c:extLst>
        </c:ser>
        <c:ser>
          <c:idx val="3"/>
          <c:order val="3"/>
          <c:tx>
            <c:v>поздние каймы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6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генерации!$BK$18:$BK$21</c:f>
              <c:numCache>
                <c:formatCode>General</c:formatCode>
                <c:ptCount val="4"/>
                <c:pt idx="0">
                  <c:v>8.1462187902605869</c:v>
                </c:pt>
                <c:pt idx="1">
                  <c:v>4.0639132585849378</c:v>
                </c:pt>
                <c:pt idx="2">
                  <c:v>8.527993190010001</c:v>
                </c:pt>
                <c:pt idx="3">
                  <c:v>2.381461698062298</c:v>
                </c:pt>
              </c:numCache>
            </c:numRef>
          </c:xVal>
          <c:yVal>
            <c:numRef>
              <c:f>генерации!$AZ$18:$AZ$21</c:f>
              <c:numCache>
                <c:formatCode>0.00</c:formatCode>
                <c:ptCount val="4"/>
                <c:pt idx="0">
                  <c:v>3.791187854189165</c:v>
                </c:pt>
                <c:pt idx="1">
                  <c:v>17.763153258835064</c:v>
                </c:pt>
                <c:pt idx="2">
                  <c:v>5.4972745182829001</c:v>
                </c:pt>
                <c:pt idx="3">
                  <c:v>4.2781320951530262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4B-4099-8482-A2C72420A5FC}"/>
            </c:ext>
          </c:extLst>
        </c:ser>
        <c:ser>
          <c:idx val="4"/>
          <c:order val="4"/>
          <c:tx>
            <c:strRef>
              <c:f>генерации!$B$23</c:f>
              <c:strCache>
                <c:ptCount val="1"/>
                <c:pt idx="0">
                  <c:v>загнутые каймы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FF0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генерации!$BK$23:$BK$28</c:f>
              <c:numCache>
                <c:formatCode>General</c:formatCode>
                <c:ptCount val="6"/>
                <c:pt idx="0">
                  <c:v>3.498111957639896</c:v>
                </c:pt>
                <c:pt idx="1">
                  <c:v>2.8917362762538481</c:v>
                </c:pt>
                <c:pt idx="2">
                  <c:v>6.2725302384637009</c:v>
                </c:pt>
                <c:pt idx="3">
                  <c:v>3.4349069010883335</c:v>
                </c:pt>
                <c:pt idx="4">
                  <c:v>9.3077445259558704</c:v>
                </c:pt>
                <c:pt idx="5">
                  <c:v>4.015147185646013</c:v>
                </c:pt>
              </c:numCache>
            </c:numRef>
          </c:xVal>
          <c:yVal>
            <c:numRef>
              <c:f>генерации!$AZ$23:$AZ$28</c:f>
              <c:numCache>
                <c:formatCode>0.00</c:formatCode>
                <c:ptCount val="6"/>
                <c:pt idx="0">
                  <c:v>18.68246466808634</c:v>
                </c:pt>
                <c:pt idx="1">
                  <c:v>11.023345074340558</c:v>
                </c:pt>
                <c:pt idx="2">
                  <c:v>6.5160790577008525</c:v>
                </c:pt>
                <c:pt idx="3">
                  <c:v>6.8655278261516504</c:v>
                </c:pt>
                <c:pt idx="4">
                  <c:v>5.3276993346927863</c:v>
                </c:pt>
                <c:pt idx="5">
                  <c:v>3.4154736123322116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64B-4099-8482-A2C72420A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555704"/>
        <c:axId val="757553408"/>
      </c:scatterChart>
      <c:valAx>
        <c:axId val="757555704"/>
        <c:scaling>
          <c:logBase val="10"/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Sm/Yb</a:t>
                </a:r>
                <a:r>
                  <a:rPr lang="en-US" sz="14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</a:t>
                </a:r>
                <a:endParaRPr lang="ru-RU" sz="1400" baseline="-250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85000"/>
                <a:lumOff val="1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757553408"/>
        <c:crossesAt val="0.1"/>
        <c:crossBetween val="midCat"/>
      </c:valAx>
      <c:valAx>
        <c:axId val="757553408"/>
        <c:scaling>
          <c:logBase val="10"/>
          <c:orientation val="minMax"/>
          <c:min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B, ppm</a:t>
                </a:r>
                <a:endParaRPr lang="ru-RU" sz="14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1.1111111111111112E-2"/>
              <c:y val="0.370976232137649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85000"/>
                <a:lumOff val="15000"/>
                <a:alpha val="96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757555704"/>
        <c:crossesAt val="0.1"/>
        <c:crossBetween val="midCat"/>
      </c:valAx>
      <c:spPr>
        <a:noFill/>
        <a:ln>
          <a:solidFill>
            <a:schemeClr val="tx1">
              <a:lumMod val="85000"/>
              <a:lumOff val="15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499759405074365"/>
          <c:y val="6.0185185185185182E-2"/>
          <c:w val="0.80541907261592294"/>
          <c:h val="0.80926727909011376"/>
        </c:manualLayout>
      </c:layout>
      <c:scatterChart>
        <c:scatterStyle val="lineMarker"/>
        <c:varyColors val="0"/>
        <c:ser>
          <c:idx val="0"/>
          <c:order val="0"/>
          <c:tx>
            <c:v>центры турьяиты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генерации!$BK$2:$BK$3</c:f>
              <c:numCache>
                <c:formatCode>General</c:formatCode>
                <c:ptCount val="2"/>
                <c:pt idx="0">
                  <c:v>0.52462251972419094</c:v>
                </c:pt>
                <c:pt idx="1">
                  <c:v>0.38720954346666608</c:v>
                </c:pt>
              </c:numCache>
            </c:numRef>
          </c:xVal>
          <c:yVal>
            <c:numRef>
              <c:f>генерации!$BA$2:$BA$3</c:f>
              <c:numCache>
                <c:formatCode>0.00</c:formatCode>
                <c:ptCount val="2"/>
                <c:pt idx="0">
                  <c:v>29.233750787230669</c:v>
                </c:pt>
                <c:pt idx="1">
                  <c:v>27.812965659889514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13-4922-9CD4-B97B1875B730}"/>
            </c:ext>
          </c:extLst>
        </c:ser>
        <c:ser>
          <c:idx val="1"/>
          <c:order val="1"/>
          <c:tx>
            <c:strRef>
              <c:f>генерации!$B$5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92D05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генерации!$BK$5:$BK$11</c:f>
              <c:numCache>
                <c:formatCode>General</c:formatCode>
                <c:ptCount val="7"/>
                <c:pt idx="0">
                  <c:v>0</c:v>
                </c:pt>
                <c:pt idx="1">
                  <c:v>2.2421106869233407</c:v>
                </c:pt>
                <c:pt idx="2">
                  <c:v>1.6163613668711674</c:v>
                </c:pt>
                <c:pt idx="3">
                  <c:v>1.4299926373870573</c:v>
                </c:pt>
                <c:pt idx="4">
                  <c:v>0</c:v>
                </c:pt>
                <c:pt idx="5">
                  <c:v>2.0974070119145494</c:v>
                </c:pt>
                <c:pt idx="6">
                  <c:v>0</c:v>
                </c:pt>
              </c:numCache>
            </c:numRef>
          </c:xVal>
          <c:yVal>
            <c:numRef>
              <c:f>генерации!$BA$5:$BA$11</c:f>
              <c:numCache>
                <c:formatCode>0.00</c:formatCode>
                <c:ptCount val="7"/>
                <c:pt idx="1">
                  <c:v>38.157365133525282</c:v>
                </c:pt>
                <c:pt idx="2">
                  <c:v>30.833656487031782</c:v>
                </c:pt>
                <c:pt idx="3">
                  <c:v>78.118080362859672</c:v>
                </c:pt>
                <c:pt idx="5">
                  <c:v>85.926344927558503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13-4922-9CD4-B97B1875B730}"/>
            </c:ext>
          </c:extLst>
        </c:ser>
        <c:ser>
          <c:idx val="2"/>
          <c:order val="2"/>
          <c:tx>
            <c:v>основная масса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7030A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генерации!$BK$14:$BK$16</c:f>
              <c:numCache>
                <c:formatCode>General</c:formatCode>
                <c:ptCount val="3"/>
                <c:pt idx="0">
                  <c:v>12.914839195803951</c:v>
                </c:pt>
                <c:pt idx="1">
                  <c:v>8.6892394272232956</c:v>
                </c:pt>
                <c:pt idx="2">
                  <c:v>20.550553904907613</c:v>
                </c:pt>
              </c:numCache>
            </c:numRef>
          </c:xVal>
          <c:yVal>
            <c:numRef>
              <c:f>генерации!$BA$14:$BA$16</c:f>
              <c:numCache>
                <c:formatCode>0.00</c:formatCode>
                <c:ptCount val="3"/>
                <c:pt idx="0">
                  <c:v>31.182327459455824</c:v>
                </c:pt>
                <c:pt idx="1">
                  <c:v>30.284712139549068</c:v>
                </c:pt>
                <c:pt idx="2">
                  <c:v>9.7623404356914456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413-4922-9CD4-B97B1875B730}"/>
            </c:ext>
          </c:extLst>
        </c:ser>
        <c:ser>
          <c:idx val="3"/>
          <c:order val="3"/>
          <c:tx>
            <c:v>поздние каймы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6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генерации!$BK$18:$BK$21</c:f>
              <c:numCache>
                <c:formatCode>General</c:formatCode>
                <c:ptCount val="4"/>
                <c:pt idx="0">
                  <c:v>8.1462187902605869</c:v>
                </c:pt>
                <c:pt idx="1">
                  <c:v>4.0639132585849378</c:v>
                </c:pt>
                <c:pt idx="2">
                  <c:v>8.527993190010001</c:v>
                </c:pt>
                <c:pt idx="3">
                  <c:v>2.381461698062298</c:v>
                </c:pt>
              </c:numCache>
            </c:numRef>
          </c:xVal>
          <c:yVal>
            <c:numRef>
              <c:f>генерации!$BA$18:$BA$21</c:f>
              <c:numCache>
                <c:formatCode>0.00</c:formatCode>
                <c:ptCount val="4"/>
                <c:pt idx="0">
                  <c:v>32.453493425009626</c:v>
                </c:pt>
                <c:pt idx="1">
                  <c:v>11.869814705214679</c:v>
                </c:pt>
                <c:pt idx="2">
                  <c:v>13.450926975887599</c:v>
                </c:pt>
                <c:pt idx="3">
                  <c:v>67.09793258956644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413-4922-9CD4-B97B1875B730}"/>
            </c:ext>
          </c:extLst>
        </c:ser>
        <c:ser>
          <c:idx val="4"/>
          <c:order val="4"/>
          <c:tx>
            <c:strRef>
              <c:f>генерации!$B$23</c:f>
              <c:strCache>
                <c:ptCount val="1"/>
                <c:pt idx="0">
                  <c:v>загнутые каймы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FF0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генерации!$BK$23:$BK$28</c:f>
              <c:numCache>
                <c:formatCode>General</c:formatCode>
                <c:ptCount val="6"/>
                <c:pt idx="0">
                  <c:v>3.498111957639896</c:v>
                </c:pt>
                <c:pt idx="1">
                  <c:v>2.8917362762538481</c:v>
                </c:pt>
                <c:pt idx="2">
                  <c:v>6.2725302384637009</c:v>
                </c:pt>
                <c:pt idx="3">
                  <c:v>3.4349069010883335</c:v>
                </c:pt>
                <c:pt idx="4">
                  <c:v>9.3077445259558704</c:v>
                </c:pt>
                <c:pt idx="5">
                  <c:v>4.015147185646013</c:v>
                </c:pt>
              </c:numCache>
            </c:numRef>
          </c:xVal>
          <c:yVal>
            <c:numRef>
              <c:f>генерации!$BA$23:$BA$28</c:f>
              <c:numCache>
                <c:formatCode>0.00</c:formatCode>
                <c:ptCount val="6"/>
                <c:pt idx="0">
                  <c:v>29.526227617748866</c:v>
                </c:pt>
                <c:pt idx="1">
                  <c:v>22.955699805256895</c:v>
                </c:pt>
                <c:pt idx="2">
                  <c:v>25.17764107291238</c:v>
                </c:pt>
                <c:pt idx="3">
                  <c:v>41.210306605522362</c:v>
                </c:pt>
                <c:pt idx="4">
                  <c:v>27.242897664124275</c:v>
                </c:pt>
                <c:pt idx="5">
                  <c:v>3.1342608200908364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413-4922-9CD4-B97B1875B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555704"/>
        <c:axId val="757553408"/>
      </c:scatterChart>
      <c:valAx>
        <c:axId val="757555704"/>
        <c:scaling>
          <c:logBase val="10"/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Sm/Yb</a:t>
                </a:r>
                <a:r>
                  <a:rPr lang="en-US" sz="1400" baseline="-25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</a:t>
                </a:r>
                <a:endParaRPr lang="ru-RU" sz="1400" baseline="-250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85000"/>
                <a:lumOff val="1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757553408"/>
        <c:crossesAt val="0.1"/>
        <c:crossBetween val="midCat"/>
      </c:valAx>
      <c:valAx>
        <c:axId val="757553408"/>
        <c:scaling>
          <c:logBase val="10"/>
          <c:orientation val="minMax"/>
          <c:min val="1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Li, ppm</a:t>
                </a:r>
                <a:endParaRPr lang="ru-RU" sz="14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1.1111111111111112E-2"/>
              <c:y val="0.370976232137649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85000"/>
                <a:lumOff val="15000"/>
                <a:alpha val="96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757555704"/>
        <c:crossesAt val="0.1"/>
        <c:crossBetween val="midCat"/>
      </c:valAx>
      <c:spPr>
        <a:noFill/>
        <a:ln>
          <a:solidFill>
            <a:schemeClr val="tx1">
              <a:lumMod val="85000"/>
              <a:lumOff val="15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72</xdr:col>
      <xdr:colOff>508000</xdr:colOff>
      <xdr:row>8</xdr:row>
      <xdr:rowOff>171450</xdr:rowOff>
    </xdr:from>
    <xdr:to>
      <xdr:col>79</xdr:col>
      <xdr:colOff>88900</xdr:colOff>
      <xdr:row>22</xdr:row>
      <xdr:rowOff>158750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D412C99-8CBC-43E3-86EF-01E514D4B3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66</xdr:col>
      <xdr:colOff>130175</xdr:colOff>
      <xdr:row>7</xdr:row>
      <xdr:rowOff>104774</xdr:rowOff>
    </xdr:from>
    <xdr:to>
      <xdr:col>71</xdr:col>
      <xdr:colOff>495300</xdr:colOff>
      <xdr:row>22</xdr:row>
      <xdr:rowOff>101599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AE78C26-AE06-46C2-8E1E-296917B575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66</xdr:col>
      <xdr:colOff>196850</xdr:colOff>
      <xdr:row>10</xdr:row>
      <xdr:rowOff>101600</xdr:rowOff>
    </xdr:from>
    <xdr:to>
      <xdr:col>79</xdr:col>
      <xdr:colOff>44450</xdr:colOff>
      <xdr:row>25</xdr:row>
      <xdr:rowOff>107950</xdr:rowOff>
    </xdr:to>
    <xdr:pic>
      <xdr:nvPicPr>
        <xdr:cNvPr id="2" name="Рисунок 1" descr="Fig. 6">
          <a:extLst>
            <a:ext uri="{FF2B5EF4-FFF2-40B4-BE49-F238E27FC236}">
              <a16:creationId xmlns:a16="http://schemas.microsoft.com/office/drawing/2014/main" id="{061F9914-9F82-462C-8A0D-90D82C639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alphaModFix amt="5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691300" y="1943100"/>
          <a:ext cx="7772400" cy="276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31</xdr:col>
      <xdr:colOff>6350</xdr:colOff>
      <xdr:row>26</xdr:row>
      <xdr:rowOff>3175</xdr:rowOff>
    </xdr:from>
    <xdr:to>
      <xdr:col>36</xdr:col>
      <xdr:colOff>641350</xdr:colOff>
      <xdr:row>40</xdr:row>
      <xdr:rowOff>168275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C1209A1-52F1-48EA-8A50-CBB59AA5EB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37</xdr:col>
      <xdr:colOff>6350</xdr:colOff>
      <xdr:row>25</xdr:row>
      <xdr:rowOff>165100</xdr:rowOff>
    </xdr:from>
    <xdr:to>
      <xdr:col>43</xdr:col>
      <xdr:colOff>412750</xdr:colOff>
      <xdr:row>40</xdr:row>
      <xdr:rowOff>146050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1E6CC561-3C2C-47CE-B104-4C0C6E9F21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101600</xdr:colOff>
      <xdr:row>24</xdr:row>
      <xdr:rowOff>168275</xdr:rowOff>
    </xdr:from>
    <xdr:to>
      <xdr:col>20</xdr:col>
      <xdr:colOff>406400</xdr:colOff>
      <xdr:row>39</xdr:row>
      <xdr:rowOff>149225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3615A749-7365-4599-938F-7DC6647B62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701675</xdr:colOff>
      <xdr:row>38</xdr:row>
      <xdr:rowOff>141288</xdr:rowOff>
    </xdr:from>
    <xdr:to>
      <xdr:col>42</xdr:col>
      <xdr:colOff>390525</xdr:colOff>
      <xdr:row>53</xdr:row>
      <xdr:rowOff>122237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C4EB3693-B12D-4D27-8275-19F326DF1D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247650</xdr:colOff>
      <xdr:row>43</xdr:row>
      <xdr:rowOff>79375</xdr:rowOff>
    </xdr:from>
    <xdr:to>
      <xdr:col>26</xdr:col>
      <xdr:colOff>552450</xdr:colOff>
      <xdr:row>58</xdr:row>
      <xdr:rowOff>60325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2E859D66-DB51-4E68-B0AF-56506102F2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438150</xdr:colOff>
      <xdr:row>30</xdr:row>
      <xdr:rowOff>165100</xdr:rowOff>
    </xdr:from>
    <xdr:to>
      <xdr:col>32</xdr:col>
      <xdr:colOff>844550</xdr:colOff>
      <xdr:row>45</xdr:row>
      <xdr:rowOff>146050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A602CFC2-3CD4-4FDB-B8B1-D1EBB74420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215900</xdr:colOff>
      <xdr:row>27</xdr:row>
      <xdr:rowOff>95250</xdr:rowOff>
    </xdr:from>
    <xdr:to>
      <xdr:col>25</xdr:col>
      <xdr:colOff>520700</xdr:colOff>
      <xdr:row>42</xdr:row>
      <xdr:rowOff>76200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981E70F0-C22C-49EC-ABD2-5BCD27E142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50800</xdr:colOff>
      <xdr:row>30</xdr:row>
      <xdr:rowOff>25400</xdr:rowOff>
    </xdr:from>
    <xdr:to>
      <xdr:col>17</xdr:col>
      <xdr:colOff>355600</xdr:colOff>
      <xdr:row>45</xdr:row>
      <xdr:rowOff>6350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94A8ACCE-B1E6-41AC-B996-BC0145F106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0.24861</cdr:x>
      <cdr:y>0.78588</cdr:y>
    </cdr:from>
    <cdr:to>
      <cdr:x>0.62222</cdr:x>
      <cdr:y>0.78588</cdr:y>
    </cdr:to>
    <cdr:cxnSp macro="">
      <cdr:nvCxnSpPr>
        <cdr:cNvPr id="3" name="Прямая со стрелкой 2">
          <a:extLst xmlns:a="http://schemas.openxmlformats.org/drawingml/2006/main">
            <a:ext uri="{FF2B5EF4-FFF2-40B4-BE49-F238E27FC236}">
              <a16:creationId xmlns:a16="http://schemas.microsoft.com/office/drawing/2014/main" id="{7836BB8F-7A85-4C6B-907F-74C7E7155D05}"/>
            </a:ext>
          </a:extLst>
        </cdr:cNvPr>
        <cdr:cNvCxnSpPr/>
      </cdr:nvCxnSpPr>
      <cdr:spPr>
        <a:xfrm xmlns:a="http://schemas.openxmlformats.org/drawingml/2006/main">
          <a:off x="1136650" y="2155825"/>
          <a:ext cx="1708150" cy="0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0.26111</cdr:x>
      <cdr:y>0.76273</cdr:y>
    </cdr:from>
    <cdr:to>
      <cdr:x>0.59444</cdr:x>
      <cdr:y>0.85764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88035835-7AB5-4174-9BB4-C173A8A58484}"/>
            </a:ext>
          </a:extLst>
        </cdr:cNvPr>
        <cdr:cNvSpPr txBox="1"/>
      </cdr:nvSpPr>
      <cdr:spPr>
        <a:xfrm xmlns:a="http://schemas.openxmlformats.org/drawingml/2006/main">
          <a:off x="1193800" y="2092324"/>
          <a:ext cx="1524000" cy="2603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ru-RU" sz="1300"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эволюция расплава 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0.24861</cdr:x>
      <cdr:y>0.78588</cdr:y>
    </cdr:from>
    <cdr:to>
      <cdr:x>0.62222</cdr:x>
      <cdr:y>0.78588</cdr:y>
    </cdr:to>
    <cdr:cxnSp macro="">
      <cdr:nvCxnSpPr>
        <cdr:cNvPr id="3" name="Прямая со стрелкой 2">
          <a:extLst xmlns:a="http://schemas.openxmlformats.org/drawingml/2006/main">
            <a:ext uri="{FF2B5EF4-FFF2-40B4-BE49-F238E27FC236}">
              <a16:creationId xmlns:a16="http://schemas.microsoft.com/office/drawing/2014/main" id="{7836BB8F-7A85-4C6B-907F-74C7E7155D05}"/>
            </a:ext>
          </a:extLst>
        </cdr:cNvPr>
        <cdr:cNvCxnSpPr/>
      </cdr:nvCxnSpPr>
      <cdr:spPr>
        <a:xfrm xmlns:a="http://schemas.openxmlformats.org/drawingml/2006/main">
          <a:off x="1136650" y="2155825"/>
          <a:ext cx="1708150" cy="0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0.26111</cdr:x>
      <cdr:y>0.76273</cdr:y>
    </cdr:from>
    <cdr:to>
      <cdr:x>0.59444</cdr:x>
      <cdr:y>0.85764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88035835-7AB5-4174-9BB4-C173A8A58484}"/>
            </a:ext>
          </a:extLst>
        </cdr:cNvPr>
        <cdr:cNvSpPr txBox="1"/>
      </cdr:nvSpPr>
      <cdr:spPr>
        <a:xfrm xmlns:a="http://schemas.openxmlformats.org/drawingml/2006/main">
          <a:off x="1193800" y="2092324"/>
          <a:ext cx="1524000" cy="2603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ru-RU" sz="1300"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эволюция расплава 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0.24861</cdr:x>
      <cdr:y>0.78588</cdr:y>
    </cdr:from>
    <cdr:to>
      <cdr:x>0.62222</cdr:x>
      <cdr:y>0.78588</cdr:y>
    </cdr:to>
    <cdr:cxnSp macro="">
      <cdr:nvCxnSpPr>
        <cdr:cNvPr id="3" name="Прямая со стрелкой 2">
          <a:extLst xmlns:a="http://schemas.openxmlformats.org/drawingml/2006/main">
            <a:ext uri="{FF2B5EF4-FFF2-40B4-BE49-F238E27FC236}">
              <a16:creationId xmlns:a16="http://schemas.microsoft.com/office/drawing/2014/main" id="{7836BB8F-7A85-4C6B-907F-74C7E7155D05}"/>
            </a:ext>
          </a:extLst>
        </cdr:cNvPr>
        <cdr:cNvCxnSpPr/>
      </cdr:nvCxnSpPr>
      <cdr:spPr>
        <a:xfrm xmlns:a="http://schemas.openxmlformats.org/drawingml/2006/main">
          <a:off x="1136650" y="2155825"/>
          <a:ext cx="1708150" cy="0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0.26111</cdr:x>
      <cdr:y>0.76273</cdr:y>
    </cdr:from>
    <cdr:to>
      <cdr:x>0.59444</cdr:x>
      <cdr:y>0.85764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88035835-7AB5-4174-9BB4-C173A8A58484}"/>
            </a:ext>
          </a:extLst>
        </cdr:cNvPr>
        <cdr:cNvSpPr txBox="1"/>
      </cdr:nvSpPr>
      <cdr:spPr>
        <a:xfrm xmlns:a="http://schemas.openxmlformats.org/drawingml/2006/main">
          <a:off x="1193800" y="2092324"/>
          <a:ext cx="1524000" cy="2603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ru-RU" sz="1300"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эволюция расплава </a:t>
          </a:r>
        </a:p>
      </cdr:txBody>
    </cdr:sp>
  </cdr:relSizeAnchor>
</c:userShape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5"/>
  <sheetViews>
    <sheetView topLeftCell="BD1" zoomScale="70" zoomScaleNormal="70" workbookViewId="0">
      <selection activeCell="BK2" sqref="BK2"/>
    </sheetView>
  </sheetViews>
  <sheetFormatPr defaultRowHeight="14.5" x14ac:dyDescent="0.35"/>
  <cols>
    <col min="1" max="1" width="10.54296875" bestFit="1" customWidth="1"/>
    <col min="3" max="3" width="15.36328125" bestFit="1" customWidth="1"/>
    <col min="4" max="4" width="5.81640625" bestFit="1" customWidth="1"/>
    <col min="5" max="5" width="7.08984375" bestFit="1" customWidth="1"/>
    <col min="6" max="6" width="10.6328125" bestFit="1" customWidth="1"/>
    <col min="30" max="30" width="10.26953125" style="54" bestFit="1" customWidth="1"/>
    <col min="31" max="31" width="10.90625" style="54" bestFit="1" customWidth="1"/>
    <col min="32" max="33" width="12.26953125" style="54" bestFit="1" customWidth="1"/>
    <col min="34" max="34" width="11.26953125" style="54" bestFit="1" customWidth="1"/>
    <col min="35" max="38" width="10.26953125" style="54" bestFit="1" customWidth="1"/>
    <col min="39" max="39" width="11.26953125" style="54" bestFit="1" customWidth="1"/>
    <col min="40" max="42" width="9.26953125" style="54" bestFit="1" customWidth="1"/>
    <col min="43" max="44" width="10.26953125" style="54" bestFit="1" customWidth="1"/>
    <col min="45" max="45" width="9.26953125" style="54" bestFit="1" customWidth="1"/>
    <col min="46" max="46" width="10.26953125" style="54" bestFit="1" customWidth="1"/>
    <col min="47" max="47" width="11.26953125" style="54" bestFit="1" customWidth="1"/>
    <col min="48" max="48" width="12.26953125" style="54" bestFit="1" customWidth="1"/>
    <col min="49" max="50" width="11.26953125" style="54" bestFit="1" customWidth="1"/>
    <col min="51" max="51" width="13.36328125" style="54" bestFit="1" customWidth="1"/>
    <col min="52" max="52" width="9.26953125" style="54" bestFit="1" customWidth="1"/>
    <col min="53" max="55" width="10.26953125" style="54" bestFit="1" customWidth="1"/>
    <col min="56" max="56" width="9.26953125" style="54" bestFit="1" customWidth="1"/>
    <col min="57" max="57" width="10.26953125" style="54" bestFit="1" customWidth="1"/>
    <col min="58" max="58" width="11.90625" style="1" bestFit="1" customWidth="1"/>
  </cols>
  <sheetData>
    <row r="1" spans="1:67" s="55" customFormat="1" x14ac:dyDescent="0.35">
      <c r="A1" s="55" t="s">
        <v>0</v>
      </c>
      <c r="B1" s="55" t="s">
        <v>1</v>
      </c>
      <c r="C1" s="55" t="s">
        <v>2</v>
      </c>
      <c r="D1" s="55" t="s">
        <v>3</v>
      </c>
      <c r="E1" s="55" t="s">
        <v>4</v>
      </c>
      <c r="F1" s="55" t="s">
        <v>5</v>
      </c>
      <c r="G1" s="56" t="s">
        <v>3</v>
      </c>
      <c r="H1" s="56" t="s">
        <v>99</v>
      </c>
      <c r="I1" s="56" t="s">
        <v>100</v>
      </c>
      <c r="J1" s="56" t="s">
        <v>101</v>
      </c>
      <c r="K1" s="56" t="s">
        <v>102</v>
      </c>
      <c r="L1" s="56" t="s">
        <v>103</v>
      </c>
      <c r="M1" s="56" t="s">
        <v>104</v>
      </c>
      <c r="N1" s="56" t="s">
        <v>105</v>
      </c>
      <c r="O1" s="56" t="s">
        <v>106</v>
      </c>
      <c r="P1" s="56" t="s">
        <v>107</v>
      </c>
      <c r="Q1" s="56" t="s">
        <v>108</v>
      </c>
      <c r="R1" s="56" t="s">
        <v>109</v>
      </c>
      <c r="S1" s="56" t="s">
        <v>110</v>
      </c>
      <c r="T1" s="56" t="s">
        <v>111</v>
      </c>
      <c r="U1" s="56" t="s">
        <v>112</v>
      </c>
      <c r="V1" s="56" t="s">
        <v>19</v>
      </c>
      <c r="W1" s="56" t="s">
        <v>17</v>
      </c>
      <c r="X1" s="56" t="s">
        <v>113</v>
      </c>
      <c r="Y1" s="56" t="s">
        <v>114</v>
      </c>
      <c r="Z1" s="56" t="s">
        <v>13</v>
      </c>
      <c r="AA1" s="56" t="s">
        <v>115</v>
      </c>
      <c r="AB1" s="56" t="s">
        <v>116</v>
      </c>
      <c r="AC1" s="56" t="s">
        <v>21</v>
      </c>
      <c r="AD1" s="57" t="s">
        <v>22</v>
      </c>
      <c r="AE1" s="13" t="s">
        <v>23</v>
      </c>
      <c r="AF1" s="13" t="s">
        <v>24</v>
      </c>
      <c r="AG1" s="13" t="s">
        <v>25</v>
      </c>
      <c r="AH1" s="13" t="s">
        <v>26</v>
      </c>
      <c r="AI1" s="13" t="s">
        <v>27</v>
      </c>
      <c r="AJ1" s="13" t="s">
        <v>28</v>
      </c>
      <c r="AK1" s="13" t="s">
        <v>29</v>
      </c>
      <c r="AL1" s="13" t="s">
        <v>30</v>
      </c>
      <c r="AM1" s="13" t="s">
        <v>31</v>
      </c>
      <c r="AN1" s="13" t="s">
        <v>32</v>
      </c>
      <c r="AO1" s="13" t="s">
        <v>33</v>
      </c>
      <c r="AP1" s="13" t="s">
        <v>34</v>
      </c>
      <c r="AQ1" s="13" t="s">
        <v>35</v>
      </c>
      <c r="AR1" s="13" t="s">
        <v>36</v>
      </c>
      <c r="AS1" s="13" t="s">
        <v>37</v>
      </c>
      <c r="AT1" s="13" t="s">
        <v>38</v>
      </c>
      <c r="AU1" s="13" t="s">
        <v>39</v>
      </c>
      <c r="AV1" s="13" t="s">
        <v>40</v>
      </c>
      <c r="AW1" s="13" t="s">
        <v>41</v>
      </c>
      <c r="AX1" s="13" t="s">
        <v>42</v>
      </c>
      <c r="AY1" s="13" t="s">
        <v>43</v>
      </c>
      <c r="AZ1" s="13" t="s">
        <v>44</v>
      </c>
      <c r="BA1" s="13" t="s">
        <v>45</v>
      </c>
      <c r="BB1" s="13" t="s">
        <v>46</v>
      </c>
      <c r="BC1" s="13" t="s">
        <v>47</v>
      </c>
      <c r="BD1" s="13" t="s">
        <v>48</v>
      </c>
      <c r="BE1" s="13" t="s">
        <v>49</v>
      </c>
      <c r="BF1" s="5" t="s">
        <v>50</v>
      </c>
      <c r="BG1" s="5" t="s">
        <v>123</v>
      </c>
      <c r="BH1" s="55" t="s">
        <v>128</v>
      </c>
      <c r="BI1" s="5" t="s">
        <v>129</v>
      </c>
      <c r="BJ1" s="55" t="s">
        <v>130</v>
      </c>
      <c r="BK1" s="55" t="s">
        <v>132</v>
      </c>
      <c r="BL1" s="55" t="s">
        <v>133</v>
      </c>
      <c r="BM1" s="55" t="s">
        <v>134</v>
      </c>
      <c r="BN1" s="55" t="s">
        <v>135</v>
      </c>
      <c r="BO1" s="55" t="s">
        <v>136</v>
      </c>
    </row>
    <row r="2" spans="1:67" s="37" customFormat="1" x14ac:dyDescent="0.35">
      <c r="A2" s="37" t="s">
        <v>117</v>
      </c>
      <c r="C2" s="58">
        <v>15</v>
      </c>
      <c r="D2" s="58">
        <v>35.86</v>
      </c>
      <c r="E2" s="58">
        <v>10</v>
      </c>
      <c r="F2" s="58">
        <v>56</v>
      </c>
      <c r="G2" s="59">
        <v>35.86</v>
      </c>
      <c r="H2" s="59">
        <v>0.66</v>
      </c>
      <c r="I2" s="59">
        <v>5.09</v>
      </c>
      <c r="J2" s="59">
        <v>0</v>
      </c>
      <c r="K2" s="59">
        <v>20.02</v>
      </c>
      <c r="L2" s="59">
        <v>0.67</v>
      </c>
      <c r="M2" s="59">
        <v>0.45</v>
      </c>
      <c r="N2" s="59">
        <v>33.369999999999997</v>
      </c>
      <c r="O2" s="12"/>
      <c r="P2" s="59">
        <v>0.08</v>
      </c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59">
        <v>96.32</v>
      </c>
      <c r="AD2" s="60">
        <v>120.54017537237424</v>
      </c>
      <c r="AE2" s="60">
        <v>41.048473431131995</v>
      </c>
      <c r="AF2" s="60">
        <v>6011.1495824506283</v>
      </c>
      <c r="AG2" s="60">
        <v>733.82623374611546</v>
      </c>
      <c r="AH2" s="60">
        <v>1781.6996191126852</v>
      </c>
      <c r="AI2" s="60">
        <v>45.304598652443381</v>
      </c>
      <c r="AJ2" s="60">
        <v>450.24065450441094</v>
      </c>
      <c r="AK2" s="60">
        <v>10.102138545218216</v>
      </c>
      <c r="AL2" s="60">
        <v>16.087784069203074</v>
      </c>
      <c r="AM2" s="60">
        <v>9.9514344843991847</v>
      </c>
      <c r="AN2" s="60">
        <v>33.439828910165232</v>
      </c>
      <c r="AO2" s="60">
        <v>30.845800590337603</v>
      </c>
      <c r="AP2" s="60">
        <v>8.5992775472433998</v>
      </c>
      <c r="AQ2" s="60">
        <v>3.0645660389353289</v>
      </c>
      <c r="AR2" s="60">
        <v>16.599864342366985</v>
      </c>
      <c r="AS2" s="60">
        <v>20.104094218997101</v>
      </c>
      <c r="AT2" s="60">
        <v>476.37131147665627</v>
      </c>
      <c r="AU2" s="60">
        <v>1034.0432071935832</v>
      </c>
      <c r="AV2" s="60">
        <v>344.4416643595747</v>
      </c>
      <c r="AW2" s="60">
        <v>67.425012825150063</v>
      </c>
      <c r="AX2" s="60">
        <v>605.18692319440845</v>
      </c>
      <c r="AY2" s="60">
        <v>6393.1942664623257</v>
      </c>
      <c r="AZ2" s="60">
        <v>22.77207509508192</v>
      </c>
      <c r="BA2" s="60">
        <v>31.182327459455824</v>
      </c>
      <c r="BB2" s="60">
        <v>54.955624703023382</v>
      </c>
      <c r="BC2" s="60">
        <v>3.507949109204775</v>
      </c>
      <c r="BD2" s="60">
        <v>11.094916449023792</v>
      </c>
      <c r="BE2" s="60">
        <v>7.8238434246737141</v>
      </c>
      <c r="BF2" s="61">
        <f>H2*5993.43-AY2</f>
        <v>-2437.5304664623254</v>
      </c>
      <c r="BK2" s="37">
        <f>'для графера'!F28/'для графера'!N28</f>
        <v>14.349821328671059</v>
      </c>
      <c r="BL2" s="37">
        <f>'для графера'!F28/'для графера'!B28</f>
        <v>6.7867291376114233E-2</v>
      </c>
      <c r="BM2" s="37">
        <f>AW2/AQ2</f>
        <v>22.001487965511231</v>
      </c>
      <c r="BN2" s="37">
        <f>'для графера'!B28/'для графера'!N28</f>
        <v>211.43942888696822</v>
      </c>
      <c r="BO2" s="37">
        <f>AV2/AP2</f>
        <v>40.05472116317371</v>
      </c>
    </row>
    <row r="3" spans="1:67" s="37" customFormat="1" x14ac:dyDescent="0.35">
      <c r="A3" s="37" t="s">
        <v>117</v>
      </c>
      <c r="C3" s="58">
        <v>16</v>
      </c>
      <c r="D3" s="58">
        <v>35.76</v>
      </c>
      <c r="E3" s="58">
        <v>10</v>
      </c>
      <c r="F3" s="58">
        <v>57</v>
      </c>
      <c r="G3" s="59">
        <v>35.76</v>
      </c>
      <c r="H3" s="59">
        <v>1.1299999999999999</v>
      </c>
      <c r="I3" s="59">
        <v>5.21</v>
      </c>
      <c r="J3" s="59">
        <v>0</v>
      </c>
      <c r="K3" s="59">
        <v>19.41</v>
      </c>
      <c r="L3" s="59">
        <v>0.76</v>
      </c>
      <c r="M3" s="59">
        <v>0.36</v>
      </c>
      <c r="N3" s="59">
        <v>33.28</v>
      </c>
      <c r="O3" s="12"/>
      <c r="P3" s="59">
        <v>0</v>
      </c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59">
        <v>96.07</v>
      </c>
      <c r="AD3" s="60">
        <v>248.67829259464142</v>
      </c>
      <c r="AE3" s="60">
        <v>234.55855182526571</v>
      </c>
      <c r="AF3" s="60">
        <v>1158.1434875010252</v>
      </c>
      <c r="AG3" s="60">
        <v>347.85326018920472</v>
      </c>
      <c r="AH3" s="60">
        <v>596.78776055999094</v>
      </c>
      <c r="AI3" s="60">
        <v>38.624636884219939</v>
      </c>
      <c r="AJ3" s="60">
        <v>159.1541598489359</v>
      </c>
      <c r="AK3" s="60">
        <v>7.0714722873915443</v>
      </c>
      <c r="AL3" s="60">
        <v>8.907737682017963</v>
      </c>
      <c r="AM3" s="60">
        <v>6.5084447949191677</v>
      </c>
      <c r="AN3" s="60">
        <v>29.676709658210164</v>
      </c>
      <c r="AO3" s="60">
        <v>7.2611025567742757</v>
      </c>
      <c r="AP3" s="60">
        <v>8.4415199242474035</v>
      </c>
      <c r="AQ3" s="60">
        <v>2.5745193142094647</v>
      </c>
      <c r="AR3" s="60">
        <v>12.988554168397094</v>
      </c>
      <c r="AS3" s="60">
        <v>26.308437413234326</v>
      </c>
      <c r="AT3" s="60">
        <v>278.86423008937015</v>
      </c>
      <c r="AU3" s="60">
        <v>245.31856585574891</v>
      </c>
      <c r="AV3" s="60">
        <v>253.57488293150232</v>
      </c>
      <c r="AW3" s="60">
        <v>43.156378875041597</v>
      </c>
      <c r="AX3" s="60">
        <v>334.29365617239472</v>
      </c>
      <c r="AY3" s="60">
        <v>5839.1291152453423</v>
      </c>
      <c r="AZ3" s="60">
        <v>18.00900877338837</v>
      </c>
      <c r="BA3" s="60">
        <v>30.284712139549068</v>
      </c>
      <c r="BB3" s="60">
        <v>24.219736577084486</v>
      </c>
      <c r="BC3" s="60">
        <v>4.4451113595983278</v>
      </c>
      <c r="BD3" s="60">
        <v>10.390674857176128</v>
      </c>
      <c r="BE3" s="60">
        <v>4.9377902596776977</v>
      </c>
      <c r="BF3" s="61">
        <f>H3*5993.43-AY3</f>
        <v>933.44678475465753</v>
      </c>
      <c r="BK3" s="37">
        <f>'для графера'!F29/'для графера'!N29</f>
        <v>9.6547104746925516</v>
      </c>
      <c r="BL3" s="37">
        <f>'для графера'!F29/'для графера'!B29</f>
        <v>0.24388826695921206</v>
      </c>
      <c r="BM3" s="37">
        <f t="shared" ref="BM3:BM25" si="0">AW3/AQ3</f>
        <v>16.762887983341173</v>
      </c>
      <c r="BN3" s="37">
        <f>'для графера'!B29/'для графера'!N29</f>
        <v>39.586613144892318</v>
      </c>
      <c r="BO3" s="37">
        <f t="shared" ref="BO3:BO25" si="1">AV3/AP3</f>
        <v>30.039007809853576</v>
      </c>
    </row>
    <row r="4" spans="1:67" s="37" customFormat="1" x14ac:dyDescent="0.35">
      <c r="A4" s="37" t="s">
        <v>117</v>
      </c>
      <c r="C4" s="58">
        <v>20</v>
      </c>
      <c r="D4" s="58">
        <v>30.33</v>
      </c>
      <c r="E4" s="58">
        <v>10</v>
      </c>
      <c r="F4" s="58">
        <v>58</v>
      </c>
      <c r="G4" s="59">
        <v>30.33</v>
      </c>
      <c r="H4" s="59">
        <v>10.51</v>
      </c>
      <c r="I4" s="59">
        <v>2.78</v>
      </c>
      <c r="J4" s="59">
        <v>0</v>
      </c>
      <c r="K4" s="59">
        <v>19.88</v>
      </c>
      <c r="L4" s="59">
        <v>1.02</v>
      </c>
      <c r="M4" s="59">
        <v>0.13</v>
      </c>
      <c r="N4" s="59">
        <v>32.6</v>
      </c>
      <c r="O4" s="12"/>
      <c r="P4" s="59">
        <v>0.14000000000000001</v>
      </c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59">
        <v>97.49</v>
      </c>
      <c r="AD4" s="60">
        <v>26.367988083108557</v>
      </c>
      <c r="AE4" s="60">
        <v>-74.940221935235897</v>
      </c>
      <c r="AF4" s="60">
        <v>1892.0579121540786</v>
      </c>
      <c r="AG4" s="60">
        <v>1058.889235648259</v>
      </c>
      <c r="AH4" s="60">
        <v>233.62537913185076</v>
      </c>
      <c r="AI4" s="60">
        <v>40.419738142850107</v>
      </c>
      <c r="AJ4" s="60">
        <v>121.08612493795808</v>
      </c>
      <c r="AK4" s="60">
        <v>12.282063494700733</v>
      </c>
      <c r="AL4" s="60">
        <v>14.493057540292501</v>
      </c>
      <c r="AM4" s="60">
        <v>28.721554186293272</v>
      </c>
      <c r="AN4" s="60">
        <v>13.856181303829361</v>
      </c>
      <c r="AO4" s="60">
        <v>2.1506081587490189</v>
      </c>
      <c r="AP4" s="60">
        <v>9.0835699889750678</v>
      </c>
      <c r="AQ4" s="60">
        <v>3.7600848558268045</v>
      </c>
      <c r="AR4" s="60">
        <v>20.632013321700736</v>
      </c>
      <c r="AS4" s="60">
        <v>12.880892133967844</v>
      </c>
      <c r="AT4" s="60">
        <v>175.72798906482384</v>
      </c>
      <c r="AU4" s="60">
        <v>73.503710467408879</v>
      </c>
      <c r="AV4" s="60">
        <v>269.07941072789021</v>
      </c>
      <c r="AW4" s="60">
        <v>68.356804914799042</v>
      </c>
      <c r="AX4" s="60">
        <v>154.85834646723791</v>
      </c>
      <c r="AY4" s="60">
        <v>44211.343313766716</v>
      </c>
      <c r="AZ4" s="60">
        <v>9.6612715781871508</v>
      </c>
      <c r="BA4" s="60">
        <v>7.1549451019597035</v>
      </c>
      <c r="BB4" s="60">
        <v>33.449854362979792</v>
      </c>
      <c r="BC4" s="60">
        <v>5.9405549000827005</v>
      </c>
      <c r="BD4" s="60">
        <v>11.377122074983539</v>
      </c>
      <c r="BE4" s="60">
        <v>9.9458186181965242</v>
      </c>
      <c r="BF4" s="61">
        <f t="shared" ref="BF4:BF25" si="2">H4*5993.43-AY4</f>
        <v>18779.605986233284</v>
      </c>
      <c r="BK4" s="37">
        <f>'для графера'!F30/'для графера'!N30</f>
        <v>7.5600378944561424</v>
      </c>
      <c r="BL4" s="37">
        <f>'для графера'!F30/'для графера'!B30</f>
        <v>0.85180688878177524</v>
      </c>
      <c r="BM4" s="37">
        <f t="shared" si="0"/>
        <v>18.179591029407252</v>
      </c>
      <c r="BN4" s="37">
        <f>'для графера'!B30/'для графера'!N30</f>
        <v>8.8752955558603741</v>
      </c>
      <c r="BO4" s="37">
        <f t="shared" si="1"/>
        <v>29.622649580999312</v>
      </c>
    </row>
    <row r="5" spans="1:67" s="37" customFormat="1" x14ac:dyDescent="0.35">
      <c r="A5" s="37" t="s">
        <v>117</v>
      </c>
      <c r="C5" s="58">
        <v>21</v>
      </c>
      <c r="D5" s="58">
        <v>36.24</v>
      </c>
      <c r="E5" s="58">
        <v>10</v>
      </c>
      <c r="F5" s="58">
        <v>59</v>
      </c>
      <c r="G5" s="59">
        <v>36.24</v>
      </c>
      <c r="H5" s="59">
        <v>0.74</v>
      </c>
      <c r="I5" s="59">
        <v>6.18</v>
      </c>
      <c r="J5" s="59">
        <v>0</v>
      </c>
      <c r="K5" s="59">
        <v>19.34</v>
      </c>
      <c r="L5" s="59">
        <v>0.49</v>
      </c>
      <c r="M5" s="59">
        <v>0.15</v>
      </c>
      <c r="N5" s="59">
        <v>34.07</v>
      </c>
      <c r="O5" s="12"/>
      <c r="P5" s="59">
        <v>0</v>
      </c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59">
        <v>97.29</v>
      </c>
      <c r="AD5" s="60">
        <v>72.349975327201193</v>
      </c>
      <c r="AE5" s="60">
        <v>53.664660255689817</v>
      </c>
      <c r="AF5" s="60">
        <v>900.24921022975445</v>
      </c>
      <c r="AG5" s="60">
        <v>158.05261605258315</v>
      </c>
      <c r="AH5" s="60">
        <v>419.29094165839257</v>
      </c>
      <c r="AI5" s="60">
        <v>30.735235402383843</v>
      </c>
      <c r="AJ5" s="60">
        <v>136.17183107196541</v>
      </c>
      <c r="AK5" s="60">
        <v>5.1885101431306682</v>
      </c>
      <c r="AL5" s="60">
        <v>5.0617671581574246</v>
      </c>
      <c r="AM5" s="60">
        <v>4.1268597447855289</v>
      </c>
      <c r="AN5" s="60">
        <v>19.820977720138618</v>
      </c>
      <c r="AO5" s="60">
        <v>5.8725744526879868</v>
      </c>
      <c r="AP5" s="60">
        <v>12.536784107077985</v>
      </c>
      <c r="AQ5" s="60">
        <v>1.7153425996906593</v>
      </c>
      <c r="AR5" s="60">
        <v>9.5774579544696028</v>
      </c>
      <c r="AS5" s="60">
        <v>8.2284188410482688</v>
      </c>
      <c r="AT5" s="60">
        <v>250.70072491292285</v>
      </c>
      <c r="AU5" s="60">
        <v>119.25221274887771</v>
      </c>
      <c r="AV5" s="60">
        <v>1116.6029141456609</v>
      </c>
      <c r="AW5" s="60">
        <v>24.409094218391964</v>
      </c>
      <c r="AX5" s="60">
        <v>328.3799143493772</v>
      </c>
      <c r="AY5" s="60">
        <v>10524.167165148854</v>
      </c>
      <c r="AZ5" s="60">
        <v>13.236568124860751</v>
      </c>
      <c r="BA5" s="60">
        <v>9.7623404356914456</v>
      </c>
      <c r="BB5" s="60">
        <v>17.747185602838627</v>
      </c>
      <c r="BC5" s="60">
        <v>1.4955915808694606</v>
      </c>
      <c r="BD5" s="60">
        <v>6.9827542420143454</v>
      </c>
      <c r="BE5" s="60">
        <v>3.7546304928749459</v>
      </c>
      <c r="BF5" s="61">
        <f t="shared" si="2"/>
        <v>-6089.0289651488538</v>
      </c>
      <c r="BK5" s="37">
        <f>'для графера'!F31/'для графера'!N31</f>
        <v>22.833948783230685</v>
      </c>
      <c r="BL5" s="37">
        <f>'для графера'!F31/'для графера'!B31</f>
        <v>0.39923353363868869</v>
      </c>
      <c r="BM5" s="37">
        <f t="shared" si="0"/>
        <v>14.229865347478597</v>
      </c>
      <c r="BN5" s="37">
        <f>'для графера'!B31/'для графера'!N31</f>
        <v>57.194466043765978</v>
      </c>
      <c r="BO5" s="37">
        <f t="shared" si="1"/>
        <v>89.066135669932464</v>
      </c>
    </row>
    <row r="6" spans="1:67" s="37" customFormat="1" x14ac:dyDescent="0.35">
      <c r="A6" s="37" t="s">
        <v>118</v>
      </c>
      <c r="C6" s="31">
        <v>26</v>
      </c>
      <c r="D6" s="31">
        <v>28.03</v>
      </c>
      <c r="E6" s="31">
        <v>15</v>
      </c>
      <c r="F6" s="31">
        <v>60</v>
      </c>
      <c r="G6" s="13">
        <v>28.03</v>
      </c>
      <c r="H6" s="13">
        <v>16.25</v>
      </c>
      <c r="I6" s="13">
        <v>0.72</v>
      </c>
      <c r="J6" s="13"/>
      <c r="K6" s="13">
        <v>16.21</v>
      </c>
      <c r="L6" s="13">
        <v>1.07</v>
      </c>
      <c r="M6" s="13">
        <v>0.51</v>
      </c>
      <c r="N6" s="13">
        <v>30.03</v>
      </c>
      <c r="O6" s="13"/>
      <c r="P6" s="13">
        <v>0.86</v>
      </c>
      <c r="Q6" s="13"/>
      <c r="R6" s="13"/>
      <c r="S6" s="13"/>
      <c r="T6" s="13"/>
      <c r="U6" s="13"/>
      <c r="V6" s="13"/>
      <c r="W6" s="13">
        <v>2.5</v>
      </c>
      <c r="X6" s="13">
        <v>1.3</v>
      </c>
      <c r="Y6" s="13"/>
      <c r="Z6" s="13">
        <v>0.35</v>
      </c>
      <c r="AA6" s="13"/>
      <c r="AB6" s="13"/>
      <c r="AC6" s="13">
        <v>97.84</v>
      </c>
      <c r="AD6" s="60">
        <v>16.101493617919509</v>
      </c>
      <c r="AE6" s="60">
        <v>7.5665259797234645</v>
      </c>
      <c r="AF6" s="60">
        <v>301.56436910010132</v>
      </c>
      <c r="AG6" s="60">
        <v>16400.555297654599</v>
      </c>
      <c r="AH6" s="60">
        <v>278.01963989700192</v>
      </c>
      <c r="AI6" s="60">
        <v>107.00869074994699</v>
      </c>
      <c r="AJ6" s="60">
        <v>220.63404702545145</v>
      </c>
      <c r="AK6" s="60">
        <v>164.10924665482761</v>
      </c>
      <c r="AL6" s="60">
        <v>166.40044178690297</v>
      </c>
      <c r="AM6" s="60">
        <v>232.47848744491165</v>
      </c>
      <c r="AN6" s="60">
        <v>9.622606468289014</v>
      </c>
      <c r="AO6" s="60">
        <v>56.166388480933968</v>
      </c>
      <c r="AP6" s="60">
        <v>37.718939795027836</v>
      </c>
      <c r="AQ6" s="60">
        <v>45.97545715132636</v>
      </c>
      <c r="AR6" s="60">
        <v>202.14862054925413</v>
      </c>
      <c r="AS6" s="60">
        <v>42.267737154196254</v>
      </c>
      <c r="AT6" s="60">
        <v>226.77414636809749</v>
      </c>
      <c r="AU6" s="60">
        <v>110.41767953797338</v>
      </c>
      <c r="AV6" s="60">
        <v>11813.968930041632</v>
      </c>
      <c r="AW6" s="60">
        <v>1142.2973648338614</v>
      </c>
      <c r="AX6" s="60">
        <v>1199.6322833360136</v>
      </c>
      <c r="AY6" s="60">
        <v>127669.84757731676</v>
      </c>
      <c r="AZ6" s="60">
        <v>6.3724175095793276</v>
      </c>
      <c r="BA6" s="60">
        <v>34.35057399247917</v>
      </c>
      <c r="BB6" s="60">
        <v>130.54156033306828</v>
      </c>
      <c r="BC6" s="60">
        <v>139.9222918506949</v>
      </c>
      <c r="BD6" s="60">
        <v>43.214540826827239</v>
      </c>
      <c r="BE6" s="60">
        <v>155.23531975734346</v>
      </c>
      <c r="BF6" s="61">
        <f t="shared" si="2"/>
        <v>-30276.610077316756</v>
      </c>
      <c r="BG6" s="37">
        <f>W6*8701-AG6</f>
        <v>5351.9447023454013</v>
      </c>
      <c r="BH6" s="37">
        <f>(BG6/AG6)*100</f>
        <v>32.632704229903538</v>
      </c>
      <c r="BI6" s="37">
        <f t="shared" ref="BI6:BI14" si="3">6797*Z6 - AX6</f>
        <v>1179.3177166639862</v>
      </c>
      <c r="BJ6" s="37">
        <f t="shared" ref="BJ6:BJ14" si="4">BI6/AX6*100</f>
        <v>98.30660053466255</v>
      </c>
      <c r="BK6" s="37">
        <f>'для графера'!F32/'для графера'!N32</f>
        <v>0.84974698245073377</v>
      </c>
      <c r="BL6" s="37">
        <f>'для графера'!F32/'для графера'!B32</f>
        <v>1.5011958309111628</v>
      </c>
      <c r="BM6" s="37">
        <f t="shared" si="0"/>
        <v>24.84580764632825</v>
      </c>
      <c r="BN6" s="37">
        <f>'для графера'!B32/'для графера'!N32</f>
        <v>0.56604672418719215</v>
      </c>
      <c r="BO6" s="37">
        <f t="shared" si="1"/>
        <v>313.21052485146907</v>
      </c>
    </row>
    <row r="7" spans="1:67" s="37" customFormat="1" x14ac:dyDescent="0.35">
      <c r="A7" s="37" t="s">
        <v>118</v>
      </c>
      <c r="C7" s="31">
        <v>27</v>
      </c>
      <c r="D7" s="31">
        <v>29.99</v>
      </c>
      <c r="E7" s="31">
        <v>15</v>
      </c>
      <c r="F7" s="31">
        <v>61</v>
      </c>
      <c r="G7" s="13">
        <v>29.99</v>
      </c>
      <c r="H7" s="13">
        <v>12.85</v>
      </c>
      <c r="I7" s="13">
        <v>1.32</v>
      </c>
      <c r="J7" s="13"/>
      <c r="K7" s="13">
        <v>17.940000000000001</v>
      </c>
      <c r="L7" s="13">
        <v>1.04</v>
      </c>
      <c r="M7" s="13">
        <v>0.33</v>
      </c>
      <c r="N7" s="13">
        <v>31.91</v>
      </c>
      <c r="O7" s="13"/>
      <c r="P7" s="13">
        <v>0.34</v>
      </c>
      <c r="Q7" s="13"/>
      <c r="R7" s="13"/>
      <c r="S7" s="13"/>
      <c r="T7" s="13"/>
      <c r="U7" s="13"/>
      <c r="V7" s="13"/>
      <c r="W7" s="13">
        <v>0.76</v>
      </c>
      <c r="X7" s="13">
        <v>0.23</v>
      </c>
      <c r="Y7" s="13"/>
      <c r="Z7" s="13">
        <v>0.42</v>
      </c>
      <c r="AA7" s="13"/>
      <c r="AB7" s="13"/>
      <c r="AC7" s="13">
        <v>97.42</v>
      </c>
      <c r="AD7" s="60">
        <v>11.871124598318127</v>
      </c>
      <c r="AE7" s="60">
        <v>1.6750624852308704</v>
      </c>
      <c r="AF7" s="60">
        <v>164.13157114971798</v>
      </c>
      <c r="AG7" s="60">
        <v>5425.0500160606989</v>
      </c>
      <c r="AH7" s="60">
        <v>462.66891528669743</v>
      </c>
      <c r="AI7" s="60">
        <v>88.85083938788739</v>
      </c>
      <c r="AJ7" s="60">
        <v>202.21550913884394</v>
      </c>
      <c r="AK7" s="60">
        <v>33.786476939936982</v>
      </c>
      <c r="AL7" s="60">
        <v>37.964866909856674</v>
      </c>
      <c r="AM7" s="60">
        <v>73.425533742779166</v>
      </c>
      <c r="AN7" s="60">
        <v>25.271338365566336</v>
      </c>
      <c r="AO7" s="60">
        <v>49.371659021891531</v>
      </c>
      <c r="AP7" s="60">
        <v>15.079261771914025</v>
      </c>
      <c r="AQ7" s="60">
        <v>10.310294941626372</v>
      </c>
      <c r="AR7" s="60">
        <v>52.944555754531173</v>
      </c>
      <c r="AS7" s="60">
        <v>25.931482147624539</v>
      </c>
      <c r="AT7" s="60">
        <v>431.01759634610164</v>
      </c>
      <c r="AU7" s="60">
        <v>119.88283786983322</v>
      </c>
      <c r="AV7" s="60">
        <v>2221.1471108833857</v>
      </c>
      <c r="AW7" s="60">
        <v>277.23583041941606</v>
      </c>
      <c r="AX7" s="60">
        <v>1271.6458598733543</v>
      </c>
      <c r="AY7" s="60">
        <v>75171.357394677398</v>
      </c>
      <c r="AZ7" s="60">
        <v>18.68246466808634</v>
      </c>
      <c r="BA7" s="60">
        <v>29.526227617748866</v>
      </c>
      <c r="BB7" s="60">
        <v>64.999970792490473</v>
      </c>
      <c r="BC7" s="60">
        <v>25.399655718232992</v>
      </c>
      <c r="BD7" s="60">
        <v>25.776979211956146</v>
      </c>
      <c r="BE7" s="60">
        <v>28.493281066781584</v>
      </c>
      <c r="BF7" s="61">
        <f t="shared" si="2"/>
        <v>1844.2181053226086</v>
      </c>
      <c r="BG7" s="37">
        <f>W7*8701-AG7</f>
        <v>1187.7099839393013</v>
      </c>
      <c r="BH7" s="37">
        <f>(BG7/AG7)*100</f>
        <v>21.893069749092106</v>
      </c>
      <c r="BI7" s="37">
        <f t="shared" si="3"/>
        <v>1583.0941401266455</v>
      </c>
      <c r="BJ7" s="37">
        <f t="shared" si="4"/>
        <v>124.49174649019885</v>
      </c>
      <c r="BK7" s="37">
        <f>'для графера'!F33/'для графера'!N33</f>
        <v>3.8867910640443291</v>
      </c>
      <c r="BL7" s="37">
        <f>'для графера'!F33/'для графера'!B33</f>
        <v>1.1480516713709854</v>
      </c>
      <c r="BM7" s="37">
        <f t="shared" si="0"/>
        <v>26.889224022109708</v>
      </c>
      <c r="BN7" s="37">
        <f>'для графера'!B33/'для графера'!N33</f>
        <v>3.3855541183114028</v>
      </c>
      <c r="BO7" s="37">
        <f t="shared" si="1"/>
        <v>147.29813332244137</v>
      </c>
    </row>
    <row r="8" spans="1:67" s="37" customFormat="1" x14ac:dyDescent="0.35">
      <c r="A8" s="37" t="s">
        <v>118</v>
      </c>
      <c r="C8" s="31">
        <v>28</v>
      </c>
      <c r="D8" s="31">
        <v>34.97</v>
      </c>
      <c r="E8" s="31">
        <v>15</v>
      </c>
      <c r="F8" s="31">
        <v>62</v>
      </c>
      <c r="G8" s="13">
        <v>34.97</v>
      </c>
      <c r="H8" s="13">
        <v>2.97</v>
      </c>
      <c r="I8" s="13">
        <v>3.39</v>
      </c>
      <c r="J8" s="13"/>
      <c r="K8" s="13">
        <v>20.97</v>
      </c>
      <c r="L8" s="13">
        <v>0.71</v>
      </c>
      <c r="M8" s="13">
        <v>0.33</v>
      </c>
      <c r="N8" s="13">
        <v>32.85</v>
      </c>
      <c r="O8" s="13"/>
      <c r="P8" s="13">
        <v>0.11</v>
      </c>
      <c r="Q8" s="13"/>
      <c r="R8" s="13"/>
      <c r="S8" s="13"/>
      <c r="T8" s="13"/>
      <c r="U8" s="13"/>
      <c r="V8" s="13"/>
      <c r="W8" s="13">
        <v>0</v>
      </c>
      <c r="X8" s="13">
        <v>0</v>
      </c>
      <c r="Y8" s="13"/>
      <c r="Z8" s="13">
        <v>0.66</v>
      </c>
      <c r="AA8" s="13"/>
      <c r="AB8" s="13"/>
      <c r="AC8" s="13">
        <v>96.97</v>
      </c>
      <c r="AD8" s="60">
        <v>17.719352807529855</v>
      </c>
      <c r="AE8" s="60">
        <v>2.4413273591188767</v>
      </c>
      <c r="AF8" s="60">
        <v>186.63152291822431</v>
      </c>
      <c r="AG8" s="60">
        <v>3931.3464609549342</v>
      </c>
      <c r="AH8" s="60">
        <v>484.68148488605391</v>
      </c>
      <c r="AI8" s="60">
        <v>85.743796041939632</v>
      </c>
      <c r="AJ8" s="60">
        <v>198.34457522102164</v>
      </c>
      <c r="AK8" s="60">
        <v>38.65454536645889</v>
      </c>
      <c r="AL8" s="60">
        <v>40.659237826872385</v>
      </c>
      <c r="AM8" s="60">
        <v>63.500842833456986</v>
      </c>
      <c r="AN8" s="60">
        <v>30.966824867212853</v>
      </c>
      <c r="AO8" s="60">
        <v>44.753144996657504</v>
      </c>
      <c r="AP8" s="60">
        <v>11.802761548967828</v>
      </c>
      <c r="AQ8" s="60">
        <v>11.340020836551789</v>
      </c>
      <c r="AR8" s="60">
        <v>54.334172062772794</v>
      </c>
      <c r="AS8" s="60">
        <v>24.296879030993175</v>
      </c>
      <c r="AT8" s="60">
        <v>434.37781446205076</v>
      </c>
      <c r="AU8" s="60">
        <v>112.27071403716133</v>
      </c>
      <c r="AV8" s="60">
        <v>2613.7389273507029</v>
      </c>
      <c r="AW8" s="60">
        <v>295.27206966792312</v>
      </c>
      <c r="AX8" s="60">
        <v>2149.1239506946799</v>
      </c>
      <c r="AY8" s="60">
        <v>57652.05110095023</v>
      </c>
      <c r="AZ8" s="60">
        <v>11.023345074340558</v>
      </c>
      <c r="BA8" s="60">
        <v>22.955699805256895</v>
      </c>
      <c r="BB8" s="60">
        <v>63.023772136327381</v>
      </c>
      <c r="BC8" s="60">
        <v>29.651319432565263</v>
      </c>
      <c r="BD8" s="60">
        <v>24.524151313372514</v>
      </c>
      <c r="BE8" s="60">
        <v>33.61861251113146</v>
      </c>
      <c r="BF8" s="61">
        <f t="shared" si="2"/>
        <v>-39851.564000950224</v>
      </c>
      <c r="BI8" s="37">
        <f t="shared" si="3"/>
        <v>2336.8960493053205</v>
      </c>
      <c r="BJ8" s="37">
        <f t="shared" si="4"/>
        <v>108.73714606130305</v>
      </c>
      <c r="BK8" s="37">
        <f>'для графера'!F34/'для графера'!N34</f>
        <v>3.2130403069487206</v>
      </c>
      <c r="BL8" s="37">
        <f>'для графера'!F34/'для графера'!B34</f>
        <v>1.1830228609386466</v>
      </c>
      <c r="BM8" s="37">
        <f t="shared" si="0"/>
        <v>26.038053538330871</v>
      </c>
      <c r="BN8" s="37">
        <f>'для графера'!B34/'для графера'!N34</f>
        <v>2.7159579185134222</v>
      </c>
      <c r="BO8" s="37">
        <f t="shared" si="1"/>
        <v>221.45147273430081</v>
      </c>
    </row>
    <row r="9" spans="1:67" s="37" customFormat="1" x14ac:dyDescent="0.35">
      <c r="A9" s="37" t="s">
        <v>118</v>
      </c>
      <c r="C9" s="18">
        <v>32</v>
      </c>
      <c r="D9" s="18">
        <v>29.78</v>
      </c>
      <c r="E9" s="18">
        <v>16</v>
      </c>
      <c r="F9" s="18">
        <v>63</v>
      </c>
      <c r="G9" s="13">
        <v>29.78</v>
      </c>
      <c r="H9" s="13">
        <v>13.74</v>
      </c>
      <c r="I9" s="13">
        <v>1.38</v>
      </c>
      <c r="J9" s="13"/>
      <c r="K9" s="13">
        <v>17.55</v>
      </c>
      <c r="L9" s="13">
        <v>0.98</v>
      </c>
      <c r="M9" s="13">
        <v>0.31</v>
      </c>
      <c r="N9" s="13">
        <v>32.01</v>
      </c>
      <c r="O9" s="13"/>
      <c r="P9" s="13">
        <v>0.27</v>
      </c>
      <c r="Q9" s="13"/>
      <c r="R9" s="13"/>
      <c r="S9" s="13"/>
      <c r="T9" s="13"/>
      <c r="U9" s="13"/>
      <c r="V9" s="13"/>
      <c r="W9" s="13">
        <v>0</v>
      </c>
      <c r="X9" s="13">
        <v>0.37</v>
      </c>
      <c r="Y9" s="13"/>
      <c r="Z9" s="13">
        <v>0.46</v>
      </c>
      <c r="AA9" s="13"/>
      <c r="AB9" s="13"/>
      <c r="AC9" s="13">
        <v>97.31</v>
      </c>
      <c r="AD9" s="60">
        <v>16.567441488740268</v>
      </c>
      <c r="AE9" s="60">
        <v>4.2619958439762762</v>
      </c>
      <c r="AF9" s="60">
        <v>219.65719180826099</v>
      </c>
      <c r="AG9" s="60">
        <v>1944.0572688955365</v>
      </c>
      <c r="AH9" s="60">
        <v>566.8652939191461</v>
      </c>
      <c r="AI9" s="60">
        <v>108.79518897570669</v>
      </c>
      <c r="AJ9" s="60">
        <v>249.56455399610104</v>
      </c>
      <c r="AK9" s="60">
        <v>27.683761528008855</v>
      </c>
      <c r="AL9" s="60">
        <v>30.034818138672041</v>
      </c>
      <c r="AM9" s="60">
        <v>33.638990649331596</v>
      </c>
      <c r="AN9" s="60">
        <v>48.051683748369115</v>
      </c>
      <c r="AO9" s="60">
        <v>51.566184076983482</v>
      </c>
      <c r="AP9" s="60">
        <v>33.644576362136284</v>
      </c>
      <c r="AQ9" s="60">
        <v>8.8715454145995896</v>
      </c>
      <c r="AR9" s="60">
        <v>47.43947275334969</v>
      </c>
      <c r="AS9" s="60">
        <v>30.454177013833171</v>
      </c>
      <c r="AT9" s="60">
        <v>533.37701452587919</v>
      </c>
      <c r="AU9" s="60">
        <v>128.8446383922994</v>
      </c>
      <c r="AV9" s="60">
        <v>3015.6365396037918</v>
      </c>
      <c r="AW9" s="60">
        <v>204.74147574409736</v>
      </c>
      <c r="AX9" s="60">
        <v>1306.1136532076598</v>
      </c>
      <c r="AY9" s="60">
        <v>93455.516547691819</v>
      </c>
      <c r="AZ9" s="60">
        <v>6.5160790577008525</v>
      </c>
      <c r="BA9" s="60">
        <v>25.17764107291238</v>
      </c>
      <c r="BB9" s="60">
        <v>65.263657404881798</v>
      </c>
      <c r="BC9" s="60">
        <v>17.344705380384639</v>
      </c>
      <c r="BD9" s="60">
        <v>30.423667531254182</v>
      </c>
      <c r="BE9" s="60">
        <v>21.436387462238098</v>
      </c>
      <c r="BF9" s="61">
        <f t="shared" si="2"/>
        <v>-11105.788347691807</v>
      </c>
      <c r="BI9" s="37">
        <f t="shared" si="3"/>
        <v>1820.5063467923405</v>
      </c>
      <c r="BJ9" s="37">
        <f t="shared" si="4"/>
        <v>139.38345582112194</v>
      </c>
      <c r="BK9" s="37">
        <f>'для графера'!F35/'для графера'!N35</f>
        <v>6.9694780427374461</v>
      </c>
      <c r="BL9" s="37">
        <f>'для графера'!F35/'для графера'!B35</f>
        <v>1.307977445279876</v>
      </c>
      <c r="BM9" s="37">
        <f t="shared" si="0"/>
        <v>23.078445318801112</v>
      </c>
      <c r="BN9" s="37">
        <f>'для графера'!B35/'для графера'!N35</f>
        <v>5.3284390093180418</v>
      </c>
      <c r="BO9" s="37">
        <f t="shared" si="1"/>
        <v>89.632174503989262</v>
      </c>
    </row>
    <row r="10" spans="1:67" s="37" customFormat="1" x14ac:dyDescent="0.35">
      <c r="A10" s="37" t="s">
        <v>118</v>
      </c>
      <c r="C10" s="18">
        <v>33</v>
      </c>
      <c r="D10" s="18">
        <v>30.07</v>
      </c>
      <c r="E10" s="18">
        <v>16</v>
      </c>
      <c r="F10" s="18">
        <v>64</v>
      </c>
      <c r="G10" s="13">
        <v>30.07</v>
      </c>
      <c r="H10" s="13">
        <v>12.53</v>
      </c>
      <c r="I10" s="13">
        <v>1.34</v>
      </c>
      <c r="J10" s="13"/>
      <c r="K10" s="13">
        <v>17.760000000000002</v>
      </c>
      <c r="L10" s="13">
        <v>0.94</v>
      </c>
      <c r="M10" s="13">
        <v>0.34</v>
      </c>
      <c r="N10" s="13">
        <v>31.92</v>
      </c>
      <c r="O10" s="13"/>
      <c r="P10" s="13">
        <v>0.34</v>
      </c>
      <c r="Q10" s="13"/>
      <c r="R10" s="13"/>
      <c r="S10" s="13"/>
      <c r="T10" s="13"/>
      <c r="U10" s="13"/>
      <c r="V10" s="13"/>
      <c r="W10" s="13">
        <v>0</v>
      </c>
      <c r="X10" s="13">
        <v>0.26</v>
      </c>
      <c r="Y10" s="13"/>
      <c r="Z10" s="13">
        <v>0.45</v>
      </c>
      <c r="AA10" s="13"/>
      <c r="AB10" s="13"/>
      <c r="AC10" s="13">
        <v>95.96</v>
      </c>
      <c r="AD10" s="60">
        <v>19.9930180426914</v>
      </c>
      <c r="AE10" s="60">
        <v>4.7488100496596219</v>
      </c>
      <c r="AF10" s="60">
        <v>166.08951786031574</v>
      </c>
      <c r="AG10" s="60">
        <v>1958.3456603552409</v>
      </c>
      <c r="AH10" s="60">
        <v>785.60467377193277</v>
      </c>
      <c r="AI10" s="60">
        <v>124.46545294816606</v>
      </c>
      <c r="AJ10" s="60">
        <v>311.64513410804426</v>
      </c>
      <c r="AK10" s="60">
        <v>48.567094340147797</v>
      </c>
      <c r="AL10" s="60">
        <v>49.218412517422109</v>
      </c>
      <c r="AM10" s="60">
        <v>37.428370755145856</v>
      </c>
      <c r="AN10" s="60">
        <v>67.444505486489504</v>
      </c>
      <c r="AO10" s="60">
        <v>69.98768344091485</v>
      </c>
      <c r="AP10" s="60">
        <v>45.022409532690659</v>
      </c>
      <c r="AQ10" s="60">
        <v>14.196713472903008</v>
      </c>
      <c r="AR10" s="60">
        <v>69.634281817551937</v>
      </c>
      <c r="AS10" s="60">
        <v>32.611768555455242</v>
      </c>
      <c r="AT10" s="60">
        <v>651.27021730206354</v>
      </c>
      <c r="AU10" s="60">
        <v>177.52119781431836</v>
      </c>
      <c r="AV10" s="60">
        <v>7070.5663180575084</v>
      </c>
      <c r="AW10" s="60">
        <v>335.36849232412919</v>
      </c>
      <c r="AX10" s="60">
        <v>1845.6145972962381</v>
      </c>
      <c r="AY10" s="60">
        <v>120975.59088193893</v>
      </c>
      <c r="AZ10" s="60">
        <v>6.8655278261516504</v>
      </c>
      <c r="BA10" s="60">
        <v>41.210306605522362</v>
      </c>
      <c r="BB10" s="60">
        <v>68.982308775081108</v>
      </c>
      <c r="BC10" s="60">
        <v>36.235466209791532</v>
      </c>
      <c r="BD10" s="60">
        <v>32.414095791150892</v>
      </c>
      <c r="BE10" s="60">
        <v>41.910994078632193</v>
      </c>
      <c r="BF10" s="61">
        <f t="shared" si="2"/>
        <v>-45877.912981938935</v>
      </c>
      <c r="BI10" s="37">
        <f t="shared" si="3"/>
        <v>1213.035402703762</v>
      </c>
      <c r="BJ10" s="37">
        <f t="shared" si="4"/>
        <v>65.72528221660238</v>
      </c>
      <c r="BK10" s="37">
        <f>'для графера'!F36/'для графера'!N36</f>
        <v>3.8165632234314826</v>
      </c>
      <c r="BL10" s="37">
        <f>'для графера'!F36/'для графера'!B36</f>
        <v>1.0860642531121767</v>
      </c>
      <c r="BM10" s="37">
        <f t="shared" si="0"/>
        <v>23.622966890487756</v>
      </c>
      <c r="BN10" s="37">
        <f>'для графера'!B36/'для графера'!N36</f>
        <v>3.514122863812994</v>
      </c>
      <c r="BO10" s="37">
        <f t="shared" si="1"/>
        <v>157.04548893420704</v>
      </c>
    </row>
    <row r="11" spans="1:67" s="37" customFormat="1" x14ac:dyDescent="0.35">
      <c r="A11" s="37" t="s">
        <v>119</v>
      </c>
      <c r="C11" s="20">
        <v>44</v>
      </c>
      <c r="D11" s="20">
        <v>33.64</v>
      </c>
      <c r="E11" s="20">
        <v>17</v>
      </c>
      <c r="F11" s="20">
        <v>65</v>
      </c>
      <c r="G11" s="59">
        <v>33.64</v>
      </c>
      <c r="H11" s="59">
        <v>7.45</v>
      </c>
      <c r="I11" s="59">
        <v>2.2799999999999998</v>
      </c>
      <c r="J11" s="12"/>
      <c r="K11" s="59">
        <v>19.149999999999999</v>
      </c>
      <c r="L11" s="59">
        <v>0</v>
      </c>
      <c r="M11" s="59">
        <v>0.18</v>
      </c>
      <c r="N11" s="59">
        <v>33.270000000000003</v>
      </c>
      <c r="O11" s="12"/>
      <c r="P11" s="59">
        <v>0.19</v>
      </c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59">
        <v>97.23</v>
      </c>
      <c r="AD11" s="60">
        <v>25.60027485476062</v>
      </c>
      <c r="AE11" s="60">
        <v>-11.980122386862719</v>
      </c>
      <c r="AF11" s="60">
        <v>602.93746303448074</v>
      </c>
      <c r="AG11" s="60">
        <v>194.38244268066063</v>
      </c>
      <c r="AH11" s="60">
        <v>168.53461415307598</v>
      </c>
      <c r="AI11" s="60">
        <v>11.092044498393079</v>
      </c>
      <c r="AJ11" s="60">
        <v>51.87846525819041</v>
      </c>
      <c r="AK11" s="60">
        <v>3.2992515260410729</v>
      </c>
      <c r="AL11" s="60">
        <v>3.2050886769290661</v>
      </c>
      <c r="AM11" s="60">
        <v>5.1570469195704209</v>
      </c>
      <c r="AN11" s="60">
        <v>8.2131271387147713</v>
      </c>
      <c r="AO11" s="60">
        <v>1.7834475023549021</v>
      </c>
      <c r="AP11" s="60">
        <v>3.5139397207705767</v>
      </c>
      <c r="AQ11" s="60">
        <v>1.0660737715018331</v>
      </c>
      <c r="AR11" s="60">
        <v>5.5091964499893953</v>
      </c>
      <c r="AS11" s="60">
        <v>3.0509331452452648</v>
      </c>
      <c r="AT11" s="60">
        <v>86.468565372961109</v>
      </c>
      <c r="AU11" s="60">
        <v>66.154721986994147</v>
      </c>
      <c r="AV11" s="60">
        <v>275.71449663398869</v>
      </c>
      <c r="AW11" s="60">
        <v>30.136638421932094</v>
      </c>
      <c r="AX11" s="60">
        <v>1051.2631827321054</v>
      </c>
      <c r="AY11" s="60">
        <v>67693.958071699148</v>
      </c>
      <c r="AZ11" s="60">
        <v>3.791187854189165</v>
      </c>
      <c r="BA11" s="60">
        <v>32.453493425009626</v>
      </c>
      <c r="BB11" s="60">
        <v>8.8532852243972169</v>
      </c>
      <c r="BC11" s="60">
        <v>1.3616187809311537</v>
      </c>
      <c r="BD11" s="60">
        <v>2.9045034182344542</v>
      </c>
      <c r="BE11" s="60">
        <v>2.7028237840412119</v>
      </c>
      <c r="BF11" s="61">
        <f t="shared" si="2"/>
        <v>-23042.904571699146</v>
      </c>
      <c r="BI11" s="37">
        <f t="shared" si="3"/>
        <v>-1051.2631827321054</v>
      </c>
      <c r="BJ11" s="37">
        <f t="shared" si="4"/>
        <v>-100</v>
      </c>
      <c r="BK11" s="37">
        <f>'для графера'!F37/'для графера'!N37</f>
        <v>9.0513542114006551</v>
      </c>
      <c r="BL11" s="37">
        <f>'для графера'!F37/'для графера'!B37</f>
        <v>0.25972136081922276</v>
      </c>
      <c r="BM11" s="37">
        <f t="shared" si="0"/>
        <v>28.268811434575543</v>
      </c>
      <c r="BN11" s="37">
        <f>'для графера'!B37/'для графера'!N37</f>
        <v>34.850249447525364</v>
      </c>
      <c r="BO11" s="37">
        <f t="shared" si="1"/>
        <v>78.463069529697819</v>
      </c>
    </row>
    <row r="12" spans="1:67" s="37" customFormat="1" x14ac:dyDescent="0.35">
      <c r="A12" s="37" t="s">
        <v>119</v>
      </c>
      <c r="C12" s="20">
        <v>45</v>
      </c>
      <c r="D12" s="20">
        <v>35.58</v>
      </c>
      <c r="E12" s="20">
        <v>17</v>
      </c>
      <c r="F12" s="20">
        <v>66</v>
      </c>
      <c r="G12" s="59">
        <v>35.58</v>
      </c>
      <c r="H12" s="59">
        <v>1.62</v>
      </c>
      <c r="I12" s="59">
        <v>2.52</v>
      </c>
      <c r="J12" s="12"/>
      <c r="K12" s="59">
        <v>23.08</v>
      </c>
      <c r="L12" s="59">
        <v>0.17</v>
      </c>
      <c r="M12" s="59">
        <v>7.0000000000000007E-2</v>
      </c>
      <c r="N12" s="59">
        <v>32.94</v>
      </c>
      <c r="O12" s="12"/>
      <c r="P12" s="59">
        <v>0.09</v>
      </c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59">
        <v>97.33</v>
      </c>
      <c r="AD12" s="60">
        <v>120.67088890071587</v>
      </c>
      <c r="AE12" s="60">
        <v>97.974972403459745</v>
      </c>
      <c r="AF12" s="60">
        <v>816.27665606072537</v>
      </c>
      <c r="AG12" s="60">
        <v>58.95898954732575</v>
      </c>
      <c r="AH12" s="60">
        <v>152.16439452415332</v>
      </c>
      <c r="AI12" s="60">
        <v>8.9608947709974007</v>
      </c>
      <c r="AJ12" s="60">
        <v>39.111366654534358</v>
      </c>
      <c r="AK12" s="60">
        <v>3.739762968404917</v>
      </c>
      <c r="AL12" s="60">
        <v>3.310260568823753</v>
      </c>
      <c r="AM12" s="60">
        <v>2.7292876761696969</v>
      </c>
      <c r="AN12" s="60">
        <v>10.31590251613059</v>
      </c>
      <c r="AO12" s="60">
        <v>1.4674208189169802</v>
      </c>
      <c r="AP12" s="60">
        <v>2.4100090539886878</v>
      </c>
      <c r="AQ12" s="60">
        <v>0.99705083802365679</v>
      </c>
      <c r="AR12" s="60">
        <v>4.8853062333362756</v>
      </c>
      <c r="AS12" s="60">
        <v>4.2683775608164121</v>
      </c>
      <c r="AT12" s="60">
        <v>68.285755186735884</v>
      </c>
      <c r="AU12" s="60">
        <v>79.8349099774249</v>
      </c>
      <c r="AV12" s="60">
        <v>133.12032429804933</v>
      </c>
      <c r="AW12" s="60">
        <v>25.899123293336839</v>
      </c>
      <c r="AX12" s="60">
        <v>418.53212307317557</v>
      </c>
      <c r="AY12" s="60">
        <v>9877.7362256580582</v>
      </c>
      <c r="AZ12" s="60">
        <v>17.763153258835064</v>
      </c>
      <c r="BA12" s="60">
        <v>11.869814705214679</v>
      </c>
      <c r="BB12" s="60">
        <v>5.8044676466873906</v>
      </c>
      <c r="BC12" s="60">
        <v>2.2049916424932752</v>
      </c>
      <c r="BD12" s="60">
        <v>2.2695312794472464</v>
      </c>
      <c r="BE12" s="60">
        <v>3.2737241240706965</v>
      </c>
      <c r="BF12" s="61">
        <f t="shared" si="2"/>
        <v>-168.37962565805719</v>
      </c>
      <c r="BI12" s="37">
        <f t="shared" si="3"/>
        <v>-418.53212307317557</v>
      </c>
      <c r="BJ12" s="37">
        <f t="shared" si="4"/>
        <v>-100</v>
      </c>
      <c r="BK12" s="37">
        <f>'для графера'!F38/'для графера'!N38</f>
        <v>4.5154591762054874</v>
      </c>
      <c r="BL12" s="37">
        <f>'для графера'!F38/'для графера'!B38</f>
        <v>0.17386631622706236</v>
      </c>
      <c r="BM12" s="37">
        <f t="shared" si="0"/>
        <v>25.975729928349288</v>
      </c>
      <c r="BN12" s="37">
        <f>'для графера'!B38/'для графера'!N38</f>
        <v>25.970868160043608</v>
      </c>
      <c r="BO12" s="37">
        <f t="shared" si="1"/>
        <v>55.236441571756089</v>
      </c>
    </row>
    <row r="13" spans="1:67" s="37" customFormat="1" x14ac:dyDescent="0.35">
      <c r="A13" s="37" t="s">
        <v>120</v>
      </c>
      <c r="C13" s="29">
        <v>15</v>
      </c>
      <c r="D13" s="29">
        <v>28.21</v>
      </c>
      <c r="E13" s="29">
        <v>18</v>
      </c>
      <c r="F13" s="29">
        <v>67</v>
      </c>
      <c r="G13" s="12">
        <v>28.21</v>
      </c>
      <c r="H13" s="12">
        <v>14.97</v>
      </c>
      <c r="I13" s="12">
        <v>2.29</v>
      </c>
      <c r="J13" s="12"/>
      <c r="K13" s="12">
        <v>19.739999999999998</v>
      </c>
      <c r="L13" s="12"/>
      <c r="M13" s="12">
        <v>0.39</v>
      </c>
      <c r="N13" s="12">
        <v>31.74</v>
      </c>
      <c r="O13" s="12"/>
      <c r="P13" s="12">
        <v>0.18</v>
      </c>
      <c r="Q13" s="12"/>
      <c r="R13" s="12"/>
      <c r="S13" s="12"/>
      <c r="T13" s="12"/>
      <c r="U13" s="12"/>
      <c r="V13" s="12"/>
      <c r="W13" s="12">
        <v>0</v>
      </c>
      <c r="X13" s="12"/>
      <c r="Y13" s="12"/>
      <c r="Z13" s="12">
        <v>0.28999999999999998</v>
      </c>
      <c r="AA13" s="12"/>
      <c r="AB13" s="12"/>
      <c r="AC13" s="12">
        <v>98.91</v>
      </c>
      <c r="AD13" s="60">
        <v>11.627277990645146</v>
      </c>
      <c r="AE13" s="60">
        <v>3.4469089888379667</v>
      </c>
      <c r="AF13" s="60">
        <v>500.18369409446416</v>
      </c>
      <c r="AG13" s="60">
        <v>1272.3555147413751</v>
      </c>
      <c r="AH13" s="60">
        <v>422.25810224938203</v>
      </c>
      <c r="AI13" s="60">
        <v>69.428905847616264</v>
      </c>
      <c r="AJ13" s="60">
        <v>165.19085555698072</v>
      </c>
      <c r="AK13" s="60">
        <v>15.875357584625423</v>
      </c>
      <c r="AL13" s="60">
        <v>15.01305516461213</v>
      </c>
      <c r="AM13" s="60">
        <v>31.533989449512447</v>
      </c>
      <c r="AN13" s="60">
        <v>19.857098949000648</v>
      </c>
      <c r="AO13" s="60">
        <v>7.78019057341342</v>
      </c>
      <c r="AP13" s="60">
        <v>18.564141668104277</v>
      </c>
      <c r="AQ13" s="60">
        <v>5.4273051139209425</v>
      </c>
      <c r="AR13" s="60">
        <v>30.61524665520189</v>
      </c>
      <c r="AS13" s="60">
        <v>19.428172388211792</v>
      </c>
      <c r="AT13" s="60">
        <v>391.58211307296256</v>
      </c>
      <c r="AU13" s="60">
        <v>86.945288026991776</v>
      </c>
      <c r="AV13" s="60">
        <v>567.37414395646579</v>
      </c>
      <c r="AW13" s="60">
        <v>112.37978723009364</v>
      </c>
      <c r="AX13" s="60">
        <v>899.61966616532209</v>
      </c>
      <c r="AY13" s="60">
        <v>75529.288232190607</v>
      </c>
      <c r="AZ13" s="60">
        <v>5.3276993346927863</v>
      </c>
      <c r="BA13" s="60">
        <v>27.242897664124275</v>
      </c>
      <c r="BB13" s="60">
        <v>44.003416221977218</v>
      </c>
      <c r="BC13" s="60">
        <v>7.4592620858903711</v>
      </c>
      <c r="BD13" s="60">
        <v>18.7854988849028</v>
      </c>
      <c r="BE13" s="60">
        <v>12.017833227131597</v>
      </c>
      <c r="BF13" s="61">
        <f t="shared" si="2"/>
        <v>14192.358867809395</v>
      </c>
      <c r="BI13" s="37">
        <f t="shared" si="3"/>
        <v>1071.5103338346778</v>
      </c>
      <c r="BJ13" s="37">
        <f t="shared" si="4"/>
        <v>119.10703757756309</v>
      </c>
      <c r="BK13" s="37">
        <f>'для графера'!F39/'для графера'!N39</f>
        <v>10.34193836217319</v>
      </c>
      <c r="BL13" s="37">
        <f>'для графера'!F39/'для графера'!B39</f>
        <v>1.2369472682138363</v>
      </c>
      <c r="BM13" s="37">
        <f t="shared" si="0"/>
        <v>20.70636989651484</v>
      </c>
      <c r="BN13" s="37">
        <f>'для графера'!B39/'для графера'!N39</f>
        <v>8.3608563015843416</v>
      </c>
      <c r="BO13" s="37">
        <f t="shared" si="1"/>
        <v>30.562907464302096</v>
      </c>
    </row>
    <row r="14" spans="1:67" s="37" customFormat="1" x14ac:dyDescent="0.35">
      <c r="A14" s="37" t="s">
        <v>120</v>
      </c>
      <c r="C14" s="29">
        <v>17</v>
      </c>
      <c r="D14" s="29">
        <v>29.01</v>
      </c>
      <c r="E14" s="29">
        <v>18</v>
      </c>
      <c r="F14" s="29">
        <v>68</v>
      </c>
      <c r="G14" s="12">
        <v>29.01</v>
      </c>
      <c r="H14" s="12">
        <v>13.38</v>
      </c>
      <c r="I14" s="12">
        <v>2.31</v>
      </c>
      <c r="J14" s="12"/>
      <c r="K14" s="12">
        <v>20.38</v>
      </c>
      <c r="L14" s="12"/>
      <c r="M14" s="12">
        <v>0.39</v>
      </c>
      <c r="N14" s="12">
        <v>31.89</v>
      </c>
      <c r="O14" s="12"/>
      <c r="P14" s="12">
        <v>0.19</v>
      </c>
      <c r="Q14" s="12"/>
      <c r="R14" s="12"/>
      <c r="S14" s="12"/>
      <c r="T14" s="12"/>
      <c r="U14" s="12"/>
      <c r="V14" s="12"/>
      <c r="W14" s="12">
        <v>0.21</v>
      </c>
      <c r="X14" s="12"/>
      <c r="Y14" s="12"/>
      <c r="Z14" s="12">
        <v>0.31</v>
      </c>
      <c r="AA14" s="12"/>
      <c r="AB14" s="12"/>
      <c r="AC14" s="12">
        <v>99.13</v>
      </c>
      <c r="AD14" s="60">
        <v>19.738274618140537</v>
      </c>
      <c r="AE14" s="60">
        <v>10.926493038339789</v>
      </c>
      <c r="AF14" s="60">
        <v>795.82790320350227</v>
      </c>
      <c r="AG14" s="60">
        <v>496.65317112482819</v>
      </c>
      <c r="AH14" s="60">
        <v>80.559282589629291</v>
      </c>
      <c r="AI14" s="60">
        <v>13.092619982769248</v>
      </c>
      <c r="AJ14" s="60">
        <v>34.031860266947653</v>
      </c>
      <c r="AK14" s="60">
        <v>3.2789355048483997</v>
      </c>
      <c r="AL14" s="60">
        <v>3.3506098408090477</v>
      </c>
      <c r="AM14" s="60">
        <v>11.613743656602441</v>
      </c>
      <c r="AN14" s="60">
        <v>2.5772758724401501</v>
      </c>
      <c r="AO14" s="60">
        <v>1.1903945669613132</v>
      </c>
      <c r="AP14" s="60">
        <v>2.7373581448993725</v>
      </c>
      <c r="AQ14" s="60">
        <v>0.94728371322770555</v>
      </c>
      <c r="AR14" s="60">
        <v>4.9551233819740741</v>
      </c>
      <c r="AS14" s="60">
        <v>3.5172636578361267</v>
      </c>
      <c r="AT14" s="60">
        <v>74.6914464478253</v>
      </c>
      <c r="AU14" s="60">
        <v>22.979261190341553</v>
      </c>
      <c r="AV14" s="60">
        <v>90.632214668630667</v>
      </c>
      <c r="AW14" s="60">
        <v>21.043957991709753</v>
      </c>
      <c r="AX14" s="60">
        <v>185.01329120535405</v>
      </c>
      <c r="AY14" s="60">
        <v>14970.990284028949</v>
      </c>
      <c r="AZ14" s="60">
        <v>5.4972745182829001</v>
      </c>
      <c r="BA14" s="60">
        <v>13.450926975887599</v>
      </c>
      <c r="BB14" s="60">
        <v>7.5139896870032343</v>
      </c>
      <c r="BC14" s="60">
        <v>1.5352521620334332</v>
      </c>
      <c r="BD14" s="60">
        <v>3.5190588798676781</v>
      </c>
      <c r="BE14" s="60">
        <v>2.5563113452390898</v>
      </c>
      <c r="BF14" s="61">
        <f t="shared" si="2"/>
        <v>65221.103115971062</v>
      </c>
      <c r="BG14" s="37">
        <f>W14*8701-AG14</f>
        <v>1330.556828875172</v>
      </c>
      <c r="BH14" s="37">
        <f>BG14/AG14*100</f>
        <v>267.90462766233929</v>
      </c>
      <c r="BI14" s="37">
        <f t="shared" si="3"/>
        <v>1922.0567087946461</v>
      </c>
      <c r="BJ14" s="37">
        <f t="shared" si="4"/>
        <v>1038.8749350236001</v>
      </c>
      <c r="BK14" s="37">
        <f>'для графера'!F40/'для графера'!N40</f>
        <v>9.4755479889000007</v>
      </c>
      <c r="BL14" s="37">
        <f>'для графера'!F40/'для графера'!B40</f>
        <v>0.88256645430674951</v>
      </c>
      <c r="BM14" s="37">
        <f t="shared" si="0"/>
        <v>22.215053101679647</v>
      </c>
      <c r="BN14" s="37">
        <f>'для графера'!B40/'для графера'!N40</f>
        <v>10.736356387285289</v>
      </c>
      <c r="BO14" s="37">
        <f t="shared" si="1"/>
        <v>33.109374028206446</v>
      </c>
    </row>
    <row r="15" spans="1:67" s="37" customFormat="1" x14ac:dyDescent="0.35">
      <c r="A15" s="37" t="s">
        <v>121</v>
      </c>
      <c r="C15" s="62">
        <v>1</v>
      </c>
      <c r="D15" s="31">
        <v>33.299999999999997</v>
      </c>
      <c r="E15" s="31">
        <v>19</v>
      </c>
      <c r="F15" s="31">
        <v>69</v>
      </c>
      <c r="G15" s="13">
        <v>33.299999999999997</v>
      </c>
      <c r="H15" s="13">
        <v>8.5299999999999994</v>
      </c>
      <c r="I15" s="13">
        <v>1.3</v>
      </c>
      <c r="J15" s="13"/>
      <c r="K15" s="13">
        <v>20.68</v>
      </c>
      <c r="L15" s="13">
        <v>0.55000000000000004</v>
      </c>
      <c r="M15" s="13">
        <v>0.51</v>
      </c>
      <c r="N15" s="13">
        <v>32.07</v>
      </c>
      <c r="O15" s="13"/>
      <c r="P15" s="13">
        <v>0.5</v>
      </c>
      <c r="Q15" s="13"/>
      <c r="R15" s="13"/>
      <c r="S15" s="13"/>
      <c r="T15" s="13"/>
      <c r="U15" s="13"/>
      <c r="V15" s="13"/>
      <c r="W15" s="13">
        <v>0</v>
      </c>
      <c r="X15" s="13">
        <v>0.23</v>
      </c>
      <c r="Y15" s="13"/>
      <c r="Z15" s="13"/>
      <c r="AA15" s="13"/>
      <c r="AB15" s="13"/>
      <c r="AC15" s="13">
        <v>97.68</v>
      </c>
      <c r="AD15" s="60">
        <v>25.21163739195093</v>
      </c>
      <c r="AE15" s="60">
        <v>3.42688148895266</v>
      </c>
      <c r="AF15" s="60">
        <v>250.01049504887311</v>
      </c>
      <c r="AG15" s="60">
        <v>4673.9026749723071</v>
      </c>
      <c r="AH15" s="60">
        <v>309.91077120043337</v>
      </c>
      <c r="AI15" s="60">
        <v>50.105501550540787</v>
      </c>
      <c r="AJ15" s="60">
        <v>129.87820864043198</v>
      </c>
      <c r="AK15" s="60">
        <v>38.620265092619228</v>
      </c>
      <c r="AL15" s="60">
        <v>47.204906792063262</v>
      </c>
      <c r="AM15" s="60">
        <v>85.436620082720168</v>
      </c>
      <c r="AN15" s="60">
        <v>5.9448778071964616</v>
      </c>
      <c r="AO15" s="60">
        <v>8.5338082221067442</v>
      </c>
      <c r="AP15" s="60">
        <v>21.591096373464094</v>
      </c>
      <c r="AQ15" s="60">
        <v>11.057827124276663</v>
      </c>
      <c r="AR15" s="60">
        <v>54.47767916730372</v>
      </c>
      <c r="AS15" s="60">
        <v>17.552604935287938</v>
      </c>
      <c r="AT15" s="60">
        <v>209.81588881577363</v>
      </c>
      <c r="AU15" s="60">
        <v>125.31860693905502</v>
      </c>
      <c r="AV15" s="60">
        <v>3146.9932146434826</v>
      </c>
      <c r="AW15" s="60">
        <v>338.06472193034136</v>
      </c>
      <c r="AX15" s="60">
        <v>3037.1375833564994</v>
      </c>
      <c r="AY15" s="60">
        <v>92815.657698047158</v>
      </c>
      <c r="AZ15" s="60">
        <v>9.8273924539130135</v>
      </c>
      <c r="BA15" s="60">
        <v>141.62800872286471</v>
      </c>
      <c r="BB15" s="60">
        <v>44.286033543697656</v>
      </c>
      <c r="BC15" s="60">
        <v>38.244046994115202</v>
      </c>
      <c r="BD15" s="60">
        <v>17.324153251805051</v>
      </c>
      <c r="BE15" s="60">
        <v>35.062822005733658</v>
      </c>
      <c r="BF15" s="61">
        <f t="shared" si="2"/>
        <v>-41691.699798047157</v>
      </c>
      <c r="BK15" s="37">
        <f>'для графера'!F41/'для графера'!N41</f>
        <v>1.4557240636475401</v>
      </c>
      <c r="BL15" s="37">
        <f>'для графера'!F41/'для графера'!B41</f>
        <v>0.61933663530386873</v>
      </c>
      <c r="BM15" s="37">
        <f t="shared" si="0"/>
        <v>30.572436892971911</v>
      </c>
      <c r="BN15" s="37">
        <f>'для графера'!B41/'для графера'!N41</f>
        <v>2.3504568931778271</v>
      </c>
      <c r="BO15" s="37">
        <f t="shared" si="1"/>
        <v>145.75421091219818</v>
      </c>
    </row>
    <row r="16" spans="1:67" s="37" customFormat="1" x14ac:dyDescent="0.35">
      <c r="A16" s="37" t="s">
        <v>121</v>
      </c>
      <c r="C16" s="62">
        <v>3</v>
      </c>
      <c r="D16" s="31">
        <v>34.630000000000003</v>
      </c>
      <c r="E16" s="31">
        <v>19</v>
      </c>
      <c r="F16" s="31">
        <v>70</v>
      </c>
      <c r="G16" s="13">
        <v>34.630000000000003</v>
      </c>
      <c r="H16" s="13">
        <v>2.52</v>
      </c>
      <c r="I16" s="13">
        <v>0.62</v>
      </c>
      <c r="J16" s="13"/>
      <c r="K16" s="13">
        <v>25.55</v>
      </c>
      <c r="L16" s="13">
        <v>0.06</v>
      </c>
      <c r="M16" s="13">
        <v>0.42</v>
      </c>
      <c r="N16" s="13">
        <v>32.49</v>
      </c>
      <c r="O16" s="13"/>
      <c r="P16" s="13">
        <v>0.19</v>
      </c>
      <c r="Q16" s="13"/>
      <c r="R16" s="13"/>
      <c r="S16" s="13"/>
      <c r="T16" s="13"/>
      <c r="U16" s="13"/>
      <c r="V16" s="13"/>
      <c r="W16" s="13">
        <v>0</v>
      </c>
      <c r="X16" s="13">
        <v>0</v>
      </c>
      <c r="Y16" s="13"/>
      <c r="Z16" s="13"/>
      <c r="AA16" s="13"/>
      <c r="AB16" s="13"/>
      <c r="AC16" s="13">
        <v>96.51</v>
      </c>
      <c r="AD16" s="60">
        <v>33.317293099946696</v>
      </c>
      <c r="AE16" s="60">
        <v>-12.417014109276534</v>
      </c>
      <c r="AF16" s="60">
        <v>159.87472404217536</v>
      </c>
      <c r="AG16" s="60">
        <v>696.98624074922475</v>
      </c>
      <c r="AH16" s="60">
        <v>42.910361112890534</v>
      </c>
      <c r="AI16" s="60">
        <v>8.4448084874718923</v>
      </c>
      <c r="AJ16" s="60">
        <v>18.913392487145849</v>
      </c>
      <c r="AK16" s="60">
        <v>4.7579840615331852</v>
      </c>
      <c r="AL16" s="60">
        <v>4.6504863068957052</v>
      </c>
      <c r="AM16" s="60">
        <v>13.598603503516628</v>
      </c>
      <c r="AN16" s="60">
        <v>2.9711835097763473</v>
      </c>
      <c r="AO16" s="60">
        <v>1.1871598802638801</v>
      </c>
      <c r="AP16" s="60">
        <v>1.2296300026489009</v>
      </c>
      <c r="AQ16" s="60">
        <v>1.596098717514091</v>
      </c>
      <c r="AR16" s="60">
        <v>7.3250580360149913</v>
      </c>
      <c r="AS16" s="60">
        <v>2.8550013394858946</v>
      </c>
      <c r="AT16" s="60">
        <v>35.28765680011368</v>
      </c>
      <c r="AU16" s="60">
        <v>12.940778929803638</v>
      </c>
      <c r="AV16" s="60">
        <v>214.44473344892734</v>
      </c>
      <c r="AW16" s="60">
        <v>37.542992608091929</v>
      </c>
      <c r="AX16" s="60">
        <v>2264.2388789060115</v>
      </c>
      <c r="AY16" s="60">
        <v>24008.895844691695</v>
      </c>
      <c r="AZ16" s="60">
        <v>4.2781320951530262</v>
      </c>
      <c r="BA16" s="60">
        <v>67.09793258956644</v>
      </c>
      <c r="BB16" s="60">
        <v>8.9852694047939217</v>
      </c>
      <c r="BC16" s="60">
        <v>3.5460610155280268</v>
      </c>
      <c r="BD16" s="60">
        <v>2.7112020428049135</v>
      </c>
      <c r="BE16" s="60">
        <v>4.2012499560252339</v>
      </c>
      <c r="BF16" s="61">
        <f t="shared" si="2"/>
        <v>-8905.4522446916944</v>
      </c>
      <c r="BK16" s="37">
        <f>'для графера'!F42/'для графера'!N42</f>
        <v>2.6460685534025536</v>
      </c>
      <c r="BL16" s="37">
        <f>'для графера'!F42/'для графера'!B42</f>
        <v>1.0108490379545181</v>
      </c>
      <c r="BM16" s="37">
        <f t="shared" si="0"/>
        <v>23.521723434854199</v>
      </c>
      <c r="BN16" s="37">
        <f>'для графера'!B42/'для графера'!N42</f>
        <v>2.617669359172512</v>
      </c>
      <c r="BO16" s="37">
        <f t="shared" si="1"/>
        <v>174.39777249007011</v>
      </c>
    </row>
    <row r="17" spans="1:67" s="37" customFormat="1" x14ac:dyDescent="0.35">
      <c r="A17" s="37" t="s">
        <v>121</v>
      </c>
      <c r="C17" s="18">
        <v>11</v>
      </c>
      <c r="D17" s="18">
        <v>28.37</v>
      </c>
      <c r="E17" s="18">
        <v>20</v>
      </c>
      <c r="F17" s="18">
        <v>71</v>
      </c>
      <c r="G17" s="13">
        <v>28.37</v>
      </c>
      <c r="H17" s="13">
        <v>17.48</v>
      </c>
      <c r="I17" s="13">
        <v>0.78</v>
      </c>
      <c r="J17" s="13"/>
      <c r="K17" s="13">
        <v>17.73</v>
      </c>
      <c r="L17" s="13">
        <v>1.0900000000000001</v>
      </c>
      <c r="M17" s="13">
        <v>0.41</v>
      </c>
      <c r="N17" s="13">
        <v>31.13</v>
      </c>
      <c r="O17" s="13"/>
      <c r="P17" s="13">
        <v>0.47</v>
      </c>
      <c r="Q17" s="13"/>
      <c r="R17" s="13"/>
      <c r="S17" s="13"/>
      <c r="T17" s="13"/>
      <c r="U17" s="13"/>
      <c r="V17" s="13"/>
      <c r="W17" s="13">
        <v>0.52</v>
      </c>
      <c r="X17" s="13">
        <v>0.44</v>
      </c>
      <c r="Y17" s="13"/>
      <c r="Z17" s="13"/>
      <c r="AA17" s="13"/>
      <c r="AB17" s="13"/>
      <c r="AC17" s="13">
        <v>98.41</v>
      </c>
      <c r="AD17" s="60">
        <v>16.82848324408161</v>
      </c>
      <c r="AE17" s="60">
        <v>-7.8980636551091647</v>
      </c>
      <c r="AF17" s="60">
        <v>354.36418249386548</v>
      </c>
      <c r="AG17" s="60">
        <v>8252.004401415983</v>
      </c>
      <c r="AH17" s="60">
        <v>514.39340935215353</v>
      </c>
      <c r="AI17" s="60">
        <v>109.17763944052858</v>
      </c>
      <c r="AJ17" s="60">
        <v>257.81042533798512</v>
      </c>
      <c r="AK17" s="60">
        <v>70.249815204968215</v>
      </c>
      <c r="AL17" s="60">
        <v>72.017679710340218</v>
      </c>
      <c r="AM17" s="60">
        <v>118.24256538313465</v>
      </c>
      <c r="AN17" s="60">
        <v>16.408060284354725</v>
      </c>
      <c r="AO17" s="60">
        <v>12.592618360094495</v>
      </c>
      <c r="AP17" s="60">
        <v>43.093545368846392</v>
      </c>
      <c r="AQ17" s="60">
        <v>20.60946416517254</v>
      </c>
      <c r="AR17" s="60">
        <v>97.341863785017281</v>
      </c>
      <c r="AS17" s="60">
        <v>35.716830128061481</v>
      </c>
      <c r="AT17" s="60">
        <v>386.36411137276423</v>
      </c>
      <c r="AU17" s="60">
        <v>170.50922651174014</v>
      </c>
      <c r="AV17" s="60">
        <v>4643.1748755097206</v>
      </c>
      <c r="AW17" s="60">
        <v>541.50899146644224</v>
      </c>
      <c r="AX17" s="60">
        <v>653.36166148270672</v>
      </c>
      <c r="AY17" s="60">
        <v>155343.36856960534</v>
      </c>
      <c r="AZ17" s="60">
        <v>8.9548100170221048</v>
      </c>
      <c r="BA17" s="60">
        <v>38.157365133525282</v>
      </c>
      <c r="BB17" s="60">
        <v>116.5361617745488</v>
      </c>
      <c r="BC17" s="60">
        <v>48.694134539068564</v>
      </c>
      <c r="BD17" s="60">
        <v>36.098421385178739</v>
      </c>
      <c r="BE17" s="60">
        <v>62.837153948880214</v>
      </c>
      <c r="BF17" s="61">
        <f t="shared" si="2"/>
        <v>-50578.212169605336</v>
      </c>
      <c r="BG17" s="37">
        <f>W17*8701-AG17</f>
        <v>-3727.4844014159826</v>
      </c>
      <c r="BH17" s="37">
        <f>BG17/AG17*100</f>
        <v>-45.170654547595419</v>
      </c>
      <c r="BK17" s="37">
        <f>'для графера'!F43/'для графера'!N43</f>
        <v>2.4912340965814894</v>
      </c>
      <c r="BL17" s="37">
        <f>'для графера'!F43/'для графера'!B43</f>
        <v>0.99184253949895573</v>
      </c>
      <c r="BM17" s="37">
        <f t="shared" si="0"/>
        <v>26.274772945408539</v>
      </c>
      <c r="BN17" s="37">
        <f>'для графера'!B43/'для графера'!N43</f>
        <v>2.5117233808503254</v>
      </c>
      <c r="BO17" s="37">
        <f t="shared" si="1"/>
        <v>107.74641157435168</v>
      </c>
    </row>
    <row r="18" spans="1:67" s="37" customFormat="1" x14ac:dyDescent="0.35">
      <c r="A18" s="37" t="s">
        <v>121</v>
      </c>
      <c r="C18" s="18">
        <v>12</v>
      </c>
      <c r="D18" s="18">
        <v>27.19</v>
      </c>
      <c r="E18" s="18">
        <v>20</v>
      </c>
      <c r="F18" s="18">
        <v>72</v>
      </c>
      <c r="G18" s="13">
        <v>27.19</v>
      </c>
      <c r="H18" s="13">
        <v>18.579999999999998</v>
      </c>
      <c r="I18" s="13">
        <v>0.97</v>
      </c>
      <c r="J18" s="13"/>
      <c r="K18" s="13">
        <v>17.07</v>
      </c>
      <c r="L18" s="13">
        <v>1.32</v>
      </c>
      <c r="M18" s="13">
        <v>0.37</v>
      </c>
      <c r="N18" s="13">
        <v>31.21</v>
      </c>
      <c r="O18" s="13"/>
      <c r="P18" s="13">
        <v>0.39</v>
      </c>
      <c r="Q18" s="13"/>
      <c r="R18" s="13"/>
      <c r="S18" s="13"/>
      <c r="T18" s="13"/>
      <c r="U18" s="13"/>
      <c r="V18" s="13"/>
      <c r="W18" s="13">
        <v>0.76</v>
      </c>
      <c r="X18" s="13">
        <v>0.28999999999999998</v>
      </c>
      <c r="Y18" s="13"/>
      <c r="Z18" s="13"/>
      <c r="AA18" s="13"/>
      <c r="AB18" s="13"/>
      <c r="AC18" s="13">
        <v>98.16</v>
      </c>
      <c r="AD18" s="60">
        <v>17.499474064935114</v>
      </c>
      <c r="AE18" s="60">
        <v>7.7176914458171044</v>
      </c>
      <c r="AF18" s="60">
        <v>353.4979813781232</v>
      </c>
      <c r="AG18" s="60">
        <v>8953.2925517333297</v>
      </c>
      <c r="AH18" s="60">
        <v>482.81437159881932</v>
      </c>
      <c r="AI18" s="60">
        <v>126.78159503577045</v>
      </c>
      <c r="AJ18" s="60">
        <v>281.88009825912866</v>
      </c>
      <c r="AK18" s="60">
        <v>96.315235582886032</v>
      </c>
      <c r="AL18" s="60">
        <v>104.76118284080783</v>
      </c>
      <c r="AM18" s="60">
        <v>168.18489717341913</v>
      </c>
      <c r="AN18" s="60">
        <v>11.453377023213545</v>
      </c>
      <c r="AO18" s="60">
        <v>10.346472316268192</v>
      </c>
      <c r="AP18" s="60">
        <v>45.339977779705073</v>
      </c>
      <c r="AQ18" s="60">
        <v>29.540593302215452</v>
      </c>
      <c r="AR18" s="60">
        <v>143.08908863510192</v>
      </c>
      <c r="AS18" s="60">
        <v>47.378549932958855</v>
      </c>
      <c r="AT18" s="60">
        <v>417.00786390907967</v>
      </c>
      <c r="AU18" s="60">
        <v>158.46151372518486</v>
      </c>
      <c r="AV18" s="60">
        <v>3137.99570192486</v>
      </c>
      <c r="AW18" s="60">
        <v>768.04133366783265</v>
      </c>
      <c r="AX18" s="60">
        <v>590.70417090514297</v>
      </c>
      <c r="AY18" s="60">
        <v>161983.1226648736</v>
      </c>
      <c r="AZ18" s="60">
        <v>10.162889787478592</v>
      </c>
      <c r="BA18" s="60">
        <v>30.833656487031782</v>
      </c>
      <c r="BB18" s="60">
        <v>130.2232103098323</v>
      </c>
      <c r="BC18" s="60">
        <v>78.436417520411837</v>
      </c>
      <c r="BD18" s="60">
        <v>47.265159594838586</v>
      </c>
      <c r="BE18" s="60">
        <v>86.609530905303473</v>
      </c>
      <c r="BF18" s="61">
        <f t="shared" si="2"/>
        <v>-50625.193264873611</v>
      </c>
      <c r="BG18" s="37">
        <f>W18*8701-AG18</f>
        <v>-2340.5325517333295</v>
      </c>
      <c r="BH18" s="37">
        <f>BG18/AG18*100</f>
        <v>-26.141584654018814</v>
      </c>
      <c r="BK18" s="37">
        <f>'для графера'!F44/'для графера'!N44</f>
        <v>1.7959570743012974</v>
      </c>
      <c r="BL18" s="37">
        <f>'для графера'!F44/'для графера'!B44</f>
        <v>1.2393367449753452</v>
      </c>
      <c r="BM18" s="37">
        <f t="shared" si="0"/>
        <v>25.999522955086753</v>
      </c>
      <c r="BN18" s="37">
        <f>'для графера'!B44/'для графера'!N44</f>
        <v>1.4491275931119314</v>
      </c>
      <c r="BO18" s="37">
        <f t="shared" si="1"/>
        <v>69.210349355960176</v>
      </c>
    </row>
    <row r="19" spans="1:67" s="37" customFormat="1" x14ac:dyDescent="0.35">
      <c r="A19" s="37" t="s">
        <v>121</v>
      </c>
      <c r="C19" s="18">
        <v>13</v>
      </c>
      <c r="D19" s="18">
        <v>30.62</v>
      </c>
      <c r="E19" s="18">
        <v>20</v>
      </c>
      <c r="F19" s="18">
        <v>73</v>
      </c>
      <c r="G19" s="13">
        <v>30.62</v>
      </c>
      <c r="H19" s="13">
        <v>13.38</v>
      </c>
      <c r="I19" s="13">
        <v>0.79</v>
      </c>
      <c r="J19" s="13"/>
      <c r="K19" s="13">
        <v>18.86</v>
      </c>
      <c r="L19" s="13">
        <v>0.77</v>
      </c>
      <c r="M19" s="13">
        <v>0.4</v>
      </c>
      <c r="N19" s="13">
        <v>32.630000000000003</v>
      </c>
      <c r="O19" s="13"/>
      <c r="P19" s="13">
        <v>0.46</v>
      </c>
      <c r="Q19" s="13"/>
      <c r="R19" s="13"/>
      <c r="S19" s="13"/>
      <c r="T19" s="13"/>
      <c r="U19" s="13"/>
      <c r="V19" s="13"/>
      <c r="W19" s="13">
        <v>0.52</v>
      </c>
      <c r="X19" s="13">
        <v>0.4</v>
      </c>
      <c r="Y19" s="13"/>
      <c r="Z19" s="13"/>
      <c r="AA19" s="13"/>
      <c r="AB19" s="13"/>
      <c r="AC19" s="13">
        <v>98.83</v>
      </c>
      <c r="AD19" s="60">
        <v>22.906803514593047</v>
      </c>
      <c r="AE19" s="60">
        <v>-360.75596792778128</v>
      </c>
      <c r="AF19" s="60">
        <v>12160.476010672568</v>
      </c>
      <c r="AG19" s="60">
        <v>7061.1784261109005</v>
      </c>
      <c r="AH19" s="60">
        <v>584.04861464772375</v>
      </c>
      <c r="AI19" s="60">
        <v>80.434363362798464</v>
      </c>
      <c r="AJ19" s="60">
        <v>220.71931184340642</v>
      </c>
      <c r="AK19" s="60">
        <v>58.268804019460688</v>
      </c>
      <c r="AL19" s="60">
        <v>72.883443035294306</v>
      </c>
      <c r="AM19" s="60">
        <v>133.1705102744624</v>
      </c>
      <c r="AN19" s="60">
        <v>7.9918878915908866</v>
      </c>
      <c r="AO19" s="60">
        <v>19.130986195496806</v>
      </c>
      <c r="AP19" s="60">
        <v>25.282921077782518</v>
      </c>
      <c r="AQ19" s="60">
        <v>16.950912866123019</v>
      </c>
      <c r="AR19" s="60">
        <v>81.493515299188445</v>
      </c>
      <c r="AS19" s="60">
        <v>37.891984785616913</v>
      </c>
      <c r="AT19" s="60">
        <v>291.54754280361067</v>
      </c>
      <c r="AU19" s="60">
        <v>350.47007029655953</v>
      </c>
      <c r="AV19" s="60">
        <v>4707.2347391554658</v>
      </c>
      <c r="AW19" s="60">
        <v>485.49915925254709</v>
      </c>
      <c r="AX19" s="60">
        <v>3430.6765163018704</v>
      </c>
      <c r="AY19" s="60">
        <v>156306.31217861653</v>
      </c>
      <c r="AZ19" s="60">
        <v>23.091757099620303</v>
      </c>
      <c r="BA19" s="60">
        <v>78.118080362859672</v>
      </c>
      <c r="BB19" s="60">
        <v>75.680525968323863</v>
      </c>
      <c r="BC19" s="60">
        <v>56.248096150880549</v>
      </c>
      <c r="BD19" s="60">
        <v>28.595385659198634</v>
      </c>
      <c r="BE19" s="60">
        <v>52.396860060552136</v>
      </c>
      <c r="BF19" s="61">
        <f t="shared" si="2"/>
        <v>-76114.218778616516</v>
      </c>
      <c r="BG19" s="37">
        <f>W19*8701-AG19</f>
        <v>-2536.6584261109001</v>
      </c>
      <c r="BH19" s="37">
        <f>BG19/AG19*100</f>
        <v>-35.924009747874628</v>
      </c>
      <c r="BK19" s="37">
        <f>'для графера'!F45/'для графера'!N45</f>
        <v>1.5888807082078416</v>
      </c>
      <c r="BL19" s="37">
        <f>'для графера'!F45/'для графера'!B45</f>
        <v>0.35550655120970992</v>
      </c>
      <c r="BM19" s="37">
        <f t="shared" si="0"/>
        <v>28.641475717973503</v>
      </c>
      <c r="BN19" s="37">
        <f>'для графера'!B45/'для графера'!N45</f>
        <v>4.4693429777910785</v>
      </c>
      <c r="BO19" s="37">
        <f t="shared" si="1"/>
        <v>186.18239263864055</v>
      </c>
    </row>
    <row r="20" spans="1:67" s="37" customFormat="1" x14ac:dyDescent="0.35">
      <c r="A20" s="37" t="s">
        <v>121</v>
      </c>
      <c r="C20" s="18">
        <v>14</v>
      </c>
      <c r="D20" s="18">
        <v>34.92</v>
      </c>
      <c r="E20" s="18">
        <v>20</v>
      </c>
      <c r="F20" s="18">
        <v>74</v>
      </c>
      <c r="G20" s="13">
        <v>34.92</v>
      </c>
      <c r="H20" s="13">
        <v>3.15</v>
      </c>
      <c r="I20" s="13">
        <v>2.17</v>
      </c>
      <c r="J20" s="13"/>
      <c r="K20" s="13">
        <v>22.62</v>
      </c>
      <c r="L20" s="13">
        <v>0.47</v>
      </c>
      <c r="M20" s="13">
        <v>0.4</v>
      </c>
      <c r="N20" s="13">
        <v>32.29</v>
      </c>
      <c r="O20" s="13"/>
      <c r="P20" s="13">
        <v>0.3</v>
      </c>
      <c r="Q20" s="13"/>
      <c r="R20" s="13"/>
      <c r="S20" s="13"/>
      <c r="T20" s="13"/>
      <c r="U20" s="13"/>
      <c r="V20" s="13"/>
      <c r="W20" s="13">
        <v>0</v>
      </c>
      <c r="X20" s="13">
        <v>0</v>
      </c>
      <c r="Y20" s="13"/>
      <c r="Z20" s="13"/>
      <c r="AA20" s="13"/>
      <c r="AB20" s="13"/>
      <c r="AC20" s="13">
        <v>96.38</v>
      </c>
      <c r="AD20" s="60">
        <v>69.045192262597396</v>
      </c>
      <c r="AE20" s="60">
        <v>37.715278356961882</v>
      </c>
      <c r="AF20" s="60">
        <v>271.99034475271407</v>
      </c>
      <c r="AG20" s="60">
        <v>2203.0679845882592</v>
      </c>
      <c r="AH20" s="60">
        <v>175.24994416812436</v>
      </c>
      <c r="AI20" s="60">
        <v>32.299502838926855</v>
      </c>
      <c r="AJ20" s="60">
        <v>79.285201427623647</v>
      </c>
      <c r="AK20" s="60">
        <v>22.297901316695615</v>
      </c>
      <c r="AL20" s="60">
        <v>27.379215075728489</v>
      </c>
      <c r="AM20" s="60">
        <v>41.442989589558685</v>
      </c>
      <c r="AN20" s="60">
        <v>3.5509361555753274</v>
      </c>
      <c r="AO20" s="60">
        <v>4.3589131472616289</v>
      </c>
      <c r="AP20" s="60">
        <v>5.9605493201961508</v>
      </c>
      <c r="AQ20" s="60">
        <v>6.2820708267842429</v>
      </c>
      <c r="AR20" s="60">
        <v>30.827835037596525</v>
      </c>
      <c r="AS20" s="60">
        <v>11.422916408000548</v>
      </c>
      <c r="AT20" s="60">
        <v>127.7134364488721</v>
      </c>
      <c r="AU20" s="60">
        <v>65.668437229854987</v>
      </c>
      <c r="AV20" s="60">
        <v>1073.9873941497444</v>
      </c>
      <c r="AW20" s="60">
        <v>205.20932203673399</v>
      </c>
      <c r="AX20" s="60">
        <v>2580.0441722838877</v>
      </c>
      <c r="AY20" s="60">
        <v>28635.596899487969</v>
      </c>
      <c r="AZ20" s="60">
        <v>21.042483292499195</v>
      </c>
      <c r="BA20" s="60">
        <v>47.332086311341747</v>
      </c>
      <c r="BB20" s="60">
        <v>30.165666915334025</v>
      </c>
      <c r="BC20" s="60">
        <v>21.292759061794683</v>
      </c>
      <c r="BD20" s="60">
        <v>10.300473221024752</v>
      </c>
      <c r="BE20" s="60">
        <v>20.182741821211103</v>
      </c>
      <c r="BF20" s="61">
        <f t="shared" si="2"/>
        <v>-9756.2923994879675</v>
      </c>
      <c r="BK20" s="37">
        <f>'для графера'!F46/'для графера'!N46</f>
        <v>1.6854714029094744</v>
      </c>
      <c r="BL20" s="37">
        <f>'для графера'!F46/'для графера'!B46</f>
        <v>0.76189666347559071</v>
      </c>
      <c r="BM20" s="37">
        <f t="shared" si="0"/>
        <v>32.665872081830621</v>
      </c>
      <c r="BN20" s="37">
        <f>'для графера'!B46/'для графера'!N46</f>
        <v>2.2122047302592929</v>
      </c>
      <c r="BO20" s="37">
        <f t="shared" si="1"/>
        <v>180.18262016736429</v>
      </c>
    </row>
    <row r="21" spans="1:67" s="37" customFormat="1" x14ac:dyDescent="0.35">
      <c r="A21" s="37" t="s">
        <v>121</v>
      </c>
      <c r="C21" s="20">
        <v>16</v>
      </c>
      <c r="D21" s="20">
        <v>28.28</v>
      </c>
      <c r="E21" s="20">
        <v>21</v>
      </c>
      <c r="F21" s="20">
        <v>75</v>
      </c>
      <c r="G21" s="13">
        <v>28.28</v>
      </c>
      <c r="H21" s="13">
        <v>17.239999999999998</v>
      </c>
      <c r="I21" s="13">
        <v>0.76</v>
      </c>
      <c r="J21" s="13"/>
      <c r="K21" s="13">
        <v>17.8</v>
      </c>
      <c r="L21" s="13">
        <v>1.1399999999999999</v>
      </c>
      <c r="M21" s="13">
        <v>0.41</v>
      </c>
      <c r="N21" s="13">
        <v>31.15</v>
      </c>
      <c r="O21" s="13"/>
      <c r="P21" s="13">
        <v>0.47</v>
      </c>
      <c r="Q21" s="13"/>
      <c r="R21" s="13"/>
      <c r="S21" s="13"/>
      <c r="T21" s="13"/>
      <c r="U21" s="13"/>
      <c r="V21" s="13"/>
      <c r="W21" s="13">
        <v>0.59</v>
      </c>
      <c r="X21" s="13">
        <v>0.48</v>
      </c>
      <c r="Y21" s="13"/>
      <c r="Z21" s="13"/>
      <c r="AA21" s="13"/>
      <c r="AB21" s="13"/>
      <c r="AC21" s="13">
        <v>98.3</v>
      </c>
      <c r="AD21" s="60">
        <v>21.145435640227049</v>
      </c>
      <c r="AE21" s="60">
        <v>13.220420491439189</v>
      </c>
      <c r="AF21" s="60">
        <v>401.76143197211621</v>
      </c>
      <c r="AG21" s="60">
        <v>6770.9198031620072</v>
      </c>
      <c r="AH21" s="60">
        <v>387.62675944056366</v>
      </c>
      <c r="AI21" s="60">
        <v>95.506861315062267</v>
      </c>
      <c r="AJ21" s="60">
        <v>214.83012022966892</v>
      </c>
      <c r="AK21" s="60">
        <v>57.591841235378752</v>
      </c>
      <c r="AL21" s="60">
        <v>64.096594947587704</v>
      </c>
      <c r="AM21" s="60">
        <v>120.48435115792323</v>
      </c>
      <c r="AN21" s="60">
        <v>11.100646418719553</v>
      </c>
      <c r="AO21" s="60">
        <v>10.16144956555625</v>
      </c>
      <c r="AP21" s="60">
        <v>36.135516792163251</v>
      </c>
      <c r="AQ21" s="60">
        <v>17.87278066147864</v>
      </c>
      <c r="AR21" s="60">
        <v>87.725784584077076</v>
      </c>
      <c r="AS21" s="60">
        <v>31.258230079612545</v>
      </c>
      <c r="AT21" s="60">
        <v>310.99155938331597</v>
      </c>
      <c r="AU21" s="60">
        <v>123.35784940936045</v>
      </c>
      <c r="AV21" s="60">
        <v>3233.7511441514112</v>
      </c>
      <c r="AW21" s="60">
        <v>477.06803702917426</v>
      </c>
      <c r="AX21" s="60">
        <v>1018.9026998168231</v>
      </c>
      <c r="AY21" s="60">
        <v>119980.16587021828</v>
      </c>
      <c r="AZ21" s="60">
        <v>6.6425869121169363</v>
      </c>
      <c r="BA21" s="60">
        <v>85.926344927558503</v>
      </c>
      <c r="BB21" s="60">
        <v>92.570539968442645</v>
      </c>
      <c r="BC21" s="60">
        <v>45.535683237695459</v>
      </c>
      <c r="BD21" s="60">
        <v>31.34684601876463</v>
      </c>
      <c r="BE21" s="60">
        <v>51.154896292427424</v>
      </c>
      <c r="BF21" s="61">
        <f t="shared" si="2"/>
        <v>-16653.432670218273</v>
      </c>
      <c r="BG21" s="37">
        <f>W21*8701-AG21</f>
        <v>-1637.329803162007</v>
      </c>
      <c r="BH21" s="37">
        <f>BG21/AG21*100</f>
        <v>-24.181792884289916</v>
      </c>
      <c r="BK21" s="37">
        <f>'для графера'!F47/'для графера'!N47</f>
        <v>2.3304522354606108</v>
      </c>
      <c r="BL21" s="37">
        <f>'для графера'!F47/'для графера'!B47</f>
        <v>1.1992913427798517</v>
      </c>
      <c r="BM21" s="37">
        <f t="shared" si="0"/>
        <v>26.692435053343612</v>
      </c>
      <c r="BN21" s="37">
        <f>'для графера'!B47/'для графера'!N47</f>
        <v>1.9431910765392733</v>
      </c>
      <c r="BO21" s="37">
        <f t="shared" si="1"/>
        <v>89.4895502048754</v>
      </c>
    </row>
    <row r="22" spans="1:67" s="37" customFormat="1" x14ac:dyDescent="0.35">
      <c r="A22" s="37" t="s">
        <v>121</v>
      </c>
      <c r="C22" s="20">
        <v>17</v>
      </c>
      <c r="D22" s="20">
        <v>35.04</v>
      </c>
      <c r="E22" s="20">
        <v>21</v>
      </c>
      <c r="F22" s="20">
        <v>76</v>
      </c>
      <c r="G22" s="13">
        <v>35.04</v>
      </c>
      <c r="H22" s="13">
        <v>2.54</v>
      </c>
      <c r="I22" s="13">
        <v>2.2799999999999998</v>
      </c>
      <c r="J22" s="13"/>
      <c r="K22" s="13">
        <v>23.16</v>
      </c>
      <c r="L22" s="13">
        <v>0.39</v>
      </c>
      <c r="M22" s="13">
        <v>0.39</v>
      </c>
      <c r="N22" s="13">
        <v>32.4</v>
      </c>
      <c r="O22" s="13"/>
      <c r="P22" s="13">
        <v>0.26</v>
      </c>
      <c r="Q22" s="13"/>
      <c r="R22" s="13"/>
      <c r="S22" s="13"/>
      <c r="T22" s="13"/>
      <c r="U22" s="13"/>
      <c r="V22" s="13"/>
      <c r="W22" s="13">
        <v>0</v>
      </c>
      <c r="X22" s="13">
        <v>0</v>
      </c>
      <c r="Y22" s="13"/>
      <c r="Z22" s="13"/>
      <c r="AA22" s="13"/>
      <c r="AB22" s="13"/>
      <c r="AC22" s="13">
        <v>96.5</v>
      </c>
      <c r="AD22" s="60">
        <v>27.829693794172254</v>
      </c>
      <c r="AE22" s="60">
        <v>2.7445869120361031</v>
      </c>
      <c r="AF22" s="60">
        <v>217.71358452039956</v>
      </c>
      <c r="AG22" s="60">
        <v>2415.2676613173226</v>
      </c>
      <c r="AH22" s="60">
        <v>318.16056673675774</v>
      </c>
      <c r="AI22" s="60">
        <v>42.130248784739521</v>
      </c>
      <c r="AJ22" s="60">
        <v>116.25566824275255</v>
      </c>
      <c r="AK22" s="60">
        <v>25.547944047697818</v>
      </c>
      <c r="AL22" s="60">
        <v>27.078652759552003</v>
      </c>
      <c r="AM22" s="60">
        <v>40.432943346264771</v>
      </c>
      <c r="AN22" s="60">
        <v>6.0178325798618602</v>
      </c>
      <c r="AO22" s="60">
        <v>7.2860455554595678</v>
      </c>
      <c r="AP22" s="60">
        <v>11.421511722262949</v>
      </c>
      <c r="AQ22" s="60">
        <v>7.3478148678531863</v>
      </c>
      <c r="AR22" s="60">
        <v>36.520774364456535</v>
      </c>
      <c r="AS22" s="60">
        <v>13.231599733538838</v>
      </c>
      <c r="AT22" s="60">
        <v>195.82580642758685</v>
      </c>
      <c r="AU22" s="60">
        <v>111.9229908287823</v>
      </c>
      <c r="AV22" s="60">
        <v>1541.0222000930896</v>
      </c>
      <c r="AW22" s="60">
        <v>231.27585093573799</v>
      </c>
      <c r="AX22" s="60">
        <v>2787.8034616155624</v>
      </c>
      <c r="AY22" s="60">
        <v>53028.988749790187</v>
      </c>
      <c r="AZ22" s="60">
        <v>6.8537059412679575</v>
      </c>
      <c r="BA22" s="60">
        <v>204.91441287368755</v>
      </c>
      <c r="BB22" s="60">
        <v>37.624718941633915</v>
      </c>
      <c r="BC22" s="60">
        <v>19.873483039877911</v>
      </c>
      <c r="BD22" s="60">
        <v>12.975295183424061</v>
      </c>
      <c r="BE22" s="60">
        <v>22.883520945474217</v>
      </c>
      <c r="BF22" s="61">
        <f t="shared" si="2"/>
        <v>-37805.676549790187</v>
      </c>
      <c r="BK22" s="37">
        <f>'для графера'!F48/'для графера'!N48</f>
        <v>2.3554697203639772</v>
      </c>
      <c r="BL22" s="37">
        <f>'для графера'!F48/'для графера'!B48</f>
        <v>0.58308468141907888</v>
      </c>
      <c r="BM22" s="37">
        <f t="shared" si="0"/>
        <v>31.475459724437769</v>
      </c>
      <c r="BN22" s="37">
        <f>'для графера'!B48/'для графера'!N48</f>
        <v>4.0396700435198651</v>
      </c>
      <c r="BO22" s="37">
        <f t="shared" si="1"/>
        <v>134.92278759293399</v>
      </c>
    </row>
    <row r="23" spans="1:67" s="37" customFormat="1" x14ac:dyDescent="0.35">
      <c r="A23" s="37" t="s">
        <v>122</v>
      </c>
      <c r="C23" s="29">
        <v>1</v>
      </c>
      <c r="D23" s="29">
        <v>25.48</v>
      </c>
      <c r="E23" s="29">
        <v>22</v>
      </c>
      <c r="F23" s="29">
        <v>77</v>
      </c>
      <c r="G23" s="59">
        <v>25.48</v>
      </c>
      <c r="H23" s="59">
        <v>15.39</v>
      </c>
      <c r="I23" s="59">
        <v>1.26</v>
      </c>
      <c r="J23" s="12"/>
      <c r="K23" s="59">
        <v>17.399999999999999</v>
      </c>
      <c r="L23" s="59">
        <v>1.65</v>
      </c>
      <c r="M23" s="59">
        <v>0.41</v>
      </c>
      <c r="N23" s="59">
        <v>30.36</v>
      </c>
      <c r="O23" s="12"/>
      <c r="P23" s="59">
        <v>0.48</v>
      </c>
      <c r="Q23" s="59">
        <v>0</v>
      </c>
      <c r="R23" s="12"/>
      <c r="S23" s="12"/>
      <c r="T23" s="12"/>
      <c r="U23" s="59">
        <v>0</v>
      </c>
      <c r="V23" s="12"/>
      <c r="W23" s="59">
        <v>5.3</v>
      </c>
      <c r="X23" s="59">
        <v>0</v>
      </c>
      <c r="Y23" s="59">
        <v>0</v>
      </c>
      <c r="Z23" s="12"/>
      <c r="AA23" s="12"/>
      <c r="AB23" s="12"/>
      <c r="AC23" s="59">
        <v>97.73</v>
      </c>
      <c r="AD23" s="60">
        <v>21.155448696831243</v>
      </c>
      <c r="AE23" s="60">
        <v>4.7988571726030127</v>
      </c>
      <c r="AF23" s="60">
        <v>201.72297590520978</v>
      </c>
      <c r="AG23" s="60">
        <v>63250.07031067057</v>
      </c>
      <c r="AH23" s="60">
        <v>217.3070381519571</v>
      </c>
      <c r="AI23" s="60">
        <v>167.31713395696133</v>
      </c>
      <c r="AJ23" s="60">
        <v>364.92041870547831</v>
      </c>
      <c r="AK23" s="60">
        <v>344.6318329517506</v>
      </c>
      <c r="AL23" s="60">
        <v>379.97022078216077</v>
      </c>
      <c r="AM23" s="60">
        <v>1128.0279814815074</v>
      </c>
      <c r="AN23" s="60">
        <v>1.8128954484472342</v>
      </c>
      <c r="AO23" s="60">
        <v>4.3294250299490527</v>
      </c>
      <c r="AP23" s="60">
        <v>64.831412746477866</v>
      </c>
      <c r="AQ23" s="60">
        <v>97.564129696480919</v>
      </c>
      <c r="AR23" s="60">
        <v>428.42099316343666</v>
      </c>
      <c r="AS23" s="60">
        <v>74.975127921525939</v>
      </c>
      <c r="AT23" s="60">
        <v>303.05698668173704</v>
      </c>
      <c r="AU23" s="60">
        <v>55.22743906133249</v>
      </c>
      <c r="AV23" s="60">
        <v>283.5432673396358</v>
      </c>
      <c r="AW23" s="60">
        <v>2660.6259648816858</v>
      </c>
      <c r="AX23" s="60">
        <v>766.52651136946679</v>
      </c>
      <c r="AY23" s="60">
        <v>155640.11367487907</v>
      </c>
      <c r="AZ23" s="60">
        <v>5.3177391205390299</v>
      </c>
      <c r="BA23" s="60">
        <v>29.233750787230669</v>
      </c>
      <c r="BB23" s="60">
        <v>260.0130346993638</v>
      </c>
      <c r="BC23" s="60">
        <v>318.92861565478432</v>
      </c>
      <c r="BD23" s="60">
        <v>74.663187376451788</v>
      </c>
      <c r="BE23" s="60">
        <v>329.30005679411795</v>
      </c>
      <c r="BF23" s="61">
        <f t="shared" si="2"/>
        <v>-63401.225974879068</v>
      </c>
      <c r="BG23" s="37">
        <f>W23*8701-AG23</f>
        <v>-17134.770310670574</v>
      </c>
      <c r="BH23" s="37">
        <f>BG23/AG23*100</f>
        <v>-27.090515831062817</v>
      </c>
      <c r="BK23" s="37">
        <f>'для графера'!F49/'для графера'!N49</f>
        <v>0.58291391080465771</v>
      </c>
      <c r="BL23" s="37">
        <f>'для графера'!F49/'для графера'!B49</f>
        <v>4.6929121761308155</v>
      </c>
      <c r="BM23" s="37">
        <f t="shared" si="0"/>
        <v>27.270534500321105</v>
      </c>
      <c r="BN23" s="37">
        <f>'для графера'!B49/'для графера'!N49</f>
        <v>0.12421155328017562</v>
      </c>
      <c r="BO23" s="37">
        <f t="shared" si="1"/>
        <v>4.3735475647958948</v>
      </c>
    </row>
    <row r="24" spans="1:67" s="37" customFormat="1" x14ac:dyDescent="0.35">
      <c r="A24" s="37" t="s">
        <v>122</v>
      </c>
      <c r="C24" s="29">
        <v>2</v>
      </c>
      <c r="D24" s="29">
        <v>30.02</v>
      </c>
      <c r="E24" s="29">
        <v>22</v>
      </c>
      <c r="F24" s="29">
        <v>78</v>
      </c>
      <c r="G24" s="59">
        <v>30.02</v>
      </c>
      <c r="H24" s="59">
        <v>10.95</v>
      </c>
      <c r="I24" s="59">
        <v>1.47</v>
      </c>
      <c r="J24" s="12"/>
      <c r="K24" s="59">
        <v>21.23</v>
      </c>
      <c r="L24" s="59">
        <v>1.1100000000000001</v>
      </c>
      <c r="M24" s="59">
        <v>0.32</v>
      </c>
      <c r="N24" s="59">
        <v>32.19</v>
      </c>
      <c r="O24" s="12"/>
      <c r="P24" s="59">
        <v>0.16</v>
      </c>
      <c r="Q24" s="59">
        <v>0</v>
      </c>
      <c r="R24" s="12"/>
      <c r="S24" s="12"/>
      <c r="T24" s="12"/>
      <c r="U24" s="59">
        <v>0</v>
      </c>
      <c r="V24" s="12"/>
      <c r="W24" s="59">
        <v>0</v>
      </c>
      <c r="X24" s="59">
        <v>0</v>
      </c>
      <c r="Y24" s="59">
        <v>0</v>
      </c>
      <c r="Z24" s="12"/>
      <c r="AA24" s="12"/>
      <c r="AB24" s="12"/>
      <c r="AC24" s="59">
        <v>97.44</v>
      </c>
      <c r="AD24" s="60">
        <v>24.128173825182021</v>
      </c>
      <c r="AE24" s="60">
        <v>1.7206263878886625</v>
      </c>
      <c r="AF24" s="60">
        <v>37.874223047541456</v>
      </c>
      <c r="AG24" s="60">
        <v>4692.2572296581966</v>
      </c>
      <c r="AH24" s="60">
        <v>282.15098201489076</v>
      </c>
      <c r="AI24" s="60">
        <v>88.127255795034586</v>
      </c>
      <c r="AJ24" s="60">
        <v>192.33134729057178</v>
      </c>
      <c r="AK24" s="60">
        <v>38.164420244749635</v>
      </c>
      <c r="AL24" s="60">
        <v>39.06310465305485</v>
      </c>
      <c r="AM24" s="60">
        <v>73.986058021323515</v>
      </c>
      <c r="AN24" s="60">
        <v>4.0096311353189229</v>
      </c>
      <c r="AO24" s="60">
        <v>4.5018027807027101</v>
      </c>
      <c r="AP24" s="60">
        <v>7.9857191171147859</v>
      </c>
      <c r="AQ24" s="60">
        <v>11.541218494981528</v>
      </c>
      <c r="AR24" s="60">
        <v>59.564952260435561</v>
      </c>
      <c r="AS24" s="60">
        <v>25.40959318077487</v>
      </c>
      <c r="AT24" s="60">
        <v>344.69828883364329</v>
      </c>
      <c r="AU24" s="60">
        <v>45.10660106699774</v>
      </c>
      <c r="AV24" s="60">
        <v>346.14573047102573</v>
      </c>
      <c r="AW24" s="60">
        <v>299.00472339030233</v>
      </c>
      <c r="AX24" s="60">
        <v>727.38314061233393</v>
      </c>
      <c r="AY24" s="60">
        <v>31898.458804404734</v>
      </c>
      <c r="AZ24" s="60">
        <v>3.4154736123322116</v>
      </c>
      <c r="BA24" s="60">
        <v>3.1342608200908364</v>
      </c>
      <c r="BB24" s="60">
        <v>82.234482412201316</v>
      </c>
      <c r="BC24" s="60">
        <v>21.948698695302109</v>
      </c>
      <c r="BD24" s="60">
        <v>25.595278437061879</v>
      </c>
      <c r="BE24" s="60">
        <v>32.908535872833816</v>
      </c>
      <c r="BF24" s="61">
        <f t="shared" si="2"/>
        <v>33729.599695595265</v>
      </c>
      <c r="BK24" s="37">
        <f>'для графера'!F50/'для графера'!N50</f>
        <v>4.4612746507177929</v>
      </c>
      <c r="BL24" s="37">
        <f>'для графера'!F50/'для графера'!B50</f>
        <v>3.0264050933288904</v>
      </c>
      <c r="BM24" s="37">
        <f t="shared" si="0"/>
        <v>25.907552440872568</v>
      </c>
      <c r="BN24" s="37">
        <f>'для графера'!B50/'для графера'!N50</f>
        <v>1.4741168195070078</v>
      </c>
      <c r="BO24" s="37">
        <f t="shared" si="1"/>
        <v>43.345592975988247</v>
      </c>
    </row>
    <row r="25" spans="1:67" s="37" customFormat="1" x14ac:dyDescent="0.35">
      <c r="A25" s="37" t="s">
        <v>122</v>
      </c>
      <c r="C25" s="31">
        <v>25</v>
      </c>
      <c r="D25" s="31">
        <v>31.95</v>
      </c>
      <c r="E25" s="31">
        <v>23</v>
      </c>
      <c r="F25" s="31">
        <v>79</v>
      </c>
      <c r="G25" s="59">
        <v>31.95</v>
      </c>
      <c r="H25" s="59">
        <v>8.4</v>
      </c>
      <c r="I25" s="59">
        <v>1.97</v>
      </c>
      <c r="J25" s="12"/>
      <c r="K25" s="59">
        <v>22.04</v>
      </c>
      <c r="L25" s="59">
        <v>0.96</v>
      </c>
      <c r="M25" s="59">
        <v>0.22</v>
      </c>
      <c r="N25" s="59">
        <v>32.74</v>
      </c>
      <c r="O25" s="12"/>
      <c r="P25" s="59">
        <v>0.14000000000000001</v>
      </c>
      <c r="Q25" s="59">
        <v>0</v>
      </c>
      <c r="R25" s="12"/>
      <c r="S25" s="12"/>
      <c r="T25" s="12"/>
      <c r="U25" s="59">
        <v>0</v>
      </c>
      <c r="V25" s="12"/>
      <c r="W25" s="59">
        <v>0</v>
      </c>
      <c r="X25" s="59">
        <v>0</v>
      </c>
      <c r="Y25" s="59">
        <v>0.23</v>
      </c>
      <c r="Z25" s="12"/>
      <c r="AA25" s="12"/>
      <c r="AB25" s="12"/>
      <c r="AC25" s="59">
        <v>98.66</v>
      </c>
      <c r="AD25" s="60">
        <v>26.824959131868088</v>
      </c>
      <c r="AE25" s="60">
        <v>11.555288683545134</v>
      </c>
      <c r="AF25" s="60">
        <v>308.32913685735321</v>
      </c>
      <c r="AG25" s="60">
        <v>75783.191777227083</v>
      </c>
      <c r="AH25" s="60">
        <v>172.23304263779428</v>
      </c>
      <c r="AI25" s="60">
        <v>204.58702309092041</v>
      </c>
      <c r="AJ25" s="60">
        <v>450.04943652022627</v>
      </c>
      <c r="AK25" s="60">
        <v>519.80648580581885</v>
      </c>
      <c r="AL25" s="60">
        <v>605.39554449504237</v>
      </c>
      <c r="AM25" s="60">
        <v>1305.4874612597935</v>
      </c>
      <c r="AN25" s="60">
        <v>1.3830422264379194</v>
      </c>
      <c r="AO25" s="60">
        <v>5.7972276828058966</v>
      </c>
      <c r="AP25" s="60">
        <v>90.86119918487384</v>
      </c>
      <c r="AQ25" s="60">
        <v>140.11129009469414</v>
      </c>
      <c r="AR25" s="60">
        <v>618.74000660888851</v>
      </c>
      <c r="AS25" s="60">
        <v>95.115768178446743</v>
      </c>
      <c r="AT25" s="60">
        <v>288.42039069373624</v>
      </c>
      <c r="AU25" s="60">
        <v>39.873802133768329</v>
      </c>
      <c r="AV25" s="60">
        <v>262.13160926345273</v>
      </c>
      <c r="AW25" s="60">
        <v>4068.8841820731932</v>
      </c>
      <c r="AX25" s="60">
        <v>1088.1476095573603</v>
      </c>
      <c r="AY25" s="60">
        <v>205232.34590477939</v>
      </c>
      <c r="AZ25" s="60">
        <v>3.3370304493083629</v>
      </c>
      <c r="BA25" s="60">
        <v>27.812965659889514</v>
      </c>
      <c r="BB25" s="60">
        <v>366.66404456967075</v>
      </c>
      <c r="BC25" s="60">
        <v>528.36255341039339</v>
      </c>
      <c r="BD25" s="60">
        <v>94.672836727755666</v>
      </c>
      <c r="BE25" s="60">
        <v>500.36581106473687</v>
      </c>
      <c r="BF25" s="61">
        <f t="shared" si="2"/>
        <v>-154887.53390477938</v>
      </c>
      <c r="BK25" s="37">
        <f>'для графера'!F51/'для графера'!N51</f>
        <v>0.43023282607407348</v>
      </c>
      <c r="BL25" s="37">
        <f>'для графера'!F51/'для графера'!B51</f>
        <v>7.9478076661695676</v>
      </c>
      <c r="BM25" s="37">
        <f t="shared" si="0"/>
        <v>29.040373401195865</v>
      </c>
      <c r="BN25" s="37">
        <f>'для графера'!B51/'для графера'!N51</f>
        <v>5.4132264411152202E-2</v>
      </c>
      <c r="BO25" s="37">
        <f t="shared" si="1"/>
        <v>2.8849675286598155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56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R4" sqref="R4:R5"/>
    </sheetView>
  </sheetViews>
  <sheetFormatPr defaultRowHeight="14.5" x14ac:dyDescent="0.35"/>
  <cols>
    <col min="1" max="1" width="10.54296875" bestFit="1" customWidth="1"/>
    <col min="2" max="2" width="13.36328125" bestFit="1" customWidth="1"/>
    <col min="3" max="3" width="15.7265625" style="1" bestFit="1" customWidth="1"/>
    <col min="4" max="4" width="9.08984375" style="1" customWidth="1"/>
    <col min="5" max="5" width="8.7265625" style="1"/>
    <col min="6" max="6" width="10.6328125" style="1" bestFit="1" customWidth="1"/>
    <col min="7" max="7" width="10.90625" style="4" bestFit="1" customWidth="1"/>
    <col min="8" max="22" width="8.7265625" style="4"/>
    <col min="23" max="23" width="10.26953125" style="53" bestFit="1" customWidth="1"/>
    <col min="24" max="24" width="10.90625" style="53" bestFit="1" customWidth="1"/>
    <col min="25" max="25" width="12.26953125" style="53" bestFit="1" customWidth="1"/>
    <col min="26" max="27" width="11.26953125" style="53" bestFit="1" customWidth="1"/>
    <col min="28" max="28" width="10.26953125" style="53" bestFit="1" customWidth="1"/>
    <col min="29" max="29" width="11.26953125" style="53" bestFit="1" customWidth="1"/>
    <col min="30" max="31" width="9.26953125" style="53" bestFit="1" customWidth="1"/>
    <col min="32" max="32" width="10.26953125" style="53" bestFit="1" customWidth="1"/>
    <col min="33" max="36" width="9.26953125" style="53" bestFit="1" customWidth="1"/>
    <col min="37" max="37" width="10.26953125" style="53" bestFit="1" customWidth="1"/>
    <col min="38" max="38" width="9.26953125" style="53" bestFit="1" customWidth="1"/>
    <col min="39" max="40" width="11.26953125" style="53" bestFit="1" customWidth="1"/>
    <col min="41" max="42" width="10.26953125" style="53" bestFit="1" customWidth="1"/>
    <col min="43" max="43" width="11.26953125" style="53" bestFit="1" customWidth="1"/>
    <col min="44" max="44" width="13.36328125" style="53" bestFit="1" customWidth="1"/>
    <col min="45" max="47" width="10.26953125" style="53" bestFit="1" customWidth="1"/>
    <col min="48" max="50" width="9.26953125" style="53" bestFit="1" customWidth="1"/>
    <col min="51" max="51" width="6.7265625" style="54" bestFit="1" customWidth="1"/>
  </cols>
  <sheetData>
    <row r="1" spans="1:52" ht="15" thickBot="1" x14ac:dyDescent="0.4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3" t="s">
        <v>20</v>
      </c>
      <c r="V1" s="2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5" t="s">
        <v>50</v>
      </c>
    </row>
    <row r="2" spans="1:52" ht="15" thickBot="1" x14ac:dyDescent="0.4">
      <c r="A2" s="6" t="s">
        <v>51</v>
      </c>
      <c r="B2" s="7" t="s">
        <v>52</v>
      </c>
      <c r="C2" s="8">
        <v>1</v>
      </c>
      <c r="D2" s="9">
        <v>50.96</v>
      </c>
      <c r="E2" s="9">
        <v>1</v>
      </c>
      <c r="F2" s="10">
        <v>1</v>
      </c>
      <c r="G2" s="11" t="s">
        <v>53</v>
      </c>
      <c r="H2" s="12">
        <v>1</v>
      </c>
      <c r="I2" s="12">
        <v>14.77</v>
      </c>
      <c r="J2" s="12">
        <v>4.8</v>
      </c>
      <c r="K2" s="12">
        <v>50.96</v>
      </c>
      <c r="L2" s="12">
        <v>21.64</v>
      </c>
      <c r="M2" s="12">
        <v>0.96</v>
      </c>
      <c r="N2" s="13"/>
      <c r="O2" s="12">
        <v>0.32</v>
      </c>
      <c r="P2" s="12"/>
      <c r="Q2" s="12">
        <v>5.4</v>
      </c>
      <c r="R2" s="12"/>
      <c r="S2" s="12"/>
      <c r="T2" s="12"/>
      <c r="U2" s="12"/>
      <c r="V2" s="12">
        <v>99.83</v>
      </c>
      <c r="W2" s="14">
        <v>6.2697571325267196</v>
      </c>
      <c r="X2" s="14">
        <v>-0.6067124078110796</v>
      </c>
      <c r="Y2" s="14">
        <v>113.75455585360527</v>
      </c>
      <c r="Z2" s="14">
        <v>39.58639654363396</v>
      </c>
      <c r="AA2" s="14">
        <v>12.64746616745135</v>
      </c>
      <c r="AB2" s="14">
        <v>2.505368947752868</v>
      </c>
      <c r="AC2" s="14">
        <v>5.1774418770994526</v>
      </c>
      <c r="AD2" s="14">
        <v>0.69868288681162083</v>
      </c>
      <c r="AE2" s="14">
        <v>0.73324747342203045</v>
      </c>
      <c r="AF2" s="14">
        <v>2.4875661408836316</v>
      </c>
      <c r="AG2" s="14">
        <v>3.9000264785837548E-2</v>
      </c>
      <c r="AH2" s="14">
        <v>2.2241212359999735E-2</v>
      </c>
      <c r="AI2" s="14">
        <v>0.13093430492008337</v>
      </c>
      <c r="AJ2" s="14">
        <v>0.25391918519156753</v>
      </c>
      <c r="AK2" s="14">
        <v>1.3634112894622958</v>
      </c>
      <c r="AL2" s="14">
        <v>0.73207148447512693</v>
      </c>
      <c r="AM2" s="14">
        <v>10.799938038795256</v>
      </c>
      <c r="AN2" s="14">
        <v>3.2043012531230928</v>
      </c>
      <c r="AO2" s="14">
        <v>0.53002230240253745</v>
      </c>
      <c r="AP2" s="14">
        <v>4.432498298115962</v>
      </c>
      <c r="AQ2" s="14">
        <v>191.49395943737031</v>
      </c>
      <c r="AR2" s="14">
        <v>5715.7053275299077</v>
      </c>
      <c r="AS2" s="14">
        <v>1.8559861487103486</v>
      </c>
      <c r="AT2" s="14">
        <v>0.87545847841463897</v>
      </c>
      <c r="AU2" s="14">
        <v>2.4135606827528133</v>
      </c>
      <c r="AV2" s="14">
        <v>0.41658688645228636</v>
      </c>
      <c r="AW2" s="14">
        <v>0.72101102921063409</v>
      </c>
      <c r="AX2" s="14">
        <v>0.55062625950336463</v>
      </c>
      <c r="AY2" s="15">
        <f>M2*47.9*10000/(47.9+32)-AR2</f>
        <v>39.488664960704227</v>
      </c>
      <c r="AZ2">
        <f>AY2*100/AR2</f>
        <v>0.69087999989267468</v>
      </c>
    </row>
    <row r="3" spans="1:52" ht="15" thickBot="1" x14ac:dyDescent="0.4">
      <c r="A3" s="63" t="s">
        <v>51</v>
      </c>
      <c r="B3" s="16"/>
      <c r="C3" s="17" t="s">
        <v>54</v>
      </c>
      <c r="D3" s="18">
        <v>44.88</v>
      </c>
      <c r="E3" s="18">
        <v>1</v>
      </c>
      <c r="F3" s="19">
        <v>2</v>
      </c>
      <c r="G3" s="13" t="s">
        <v>55</v>
      </c>
      <c r="H3" s="13">
        <v>0.46</v>
      </c>
      <c r="I3" s="13">
        <v>12.34</v>
      </c>
      <c r="J3" s="13">
        <v>8.9</v>
      </c>
      <c r="K3" s="13">
        <v>44.88</v>
      </c>
      <c r="L3" s="13">
        <v>23.95</v>
      </c>
      <c r="M3" s="13">
        <v>3.54</v>
      </c>
      <c r="N3" s="13">
        <v>0</v>
      </c>
      <c r="O3" s="13">
        <v>0</v>
      </c>
      <c r="P3" s="13">
        <v>0.13</v>
      </c>
      <c r="Q3" s="13">
        <v>6.89</v>
      </c>
      <c r="R3" s="13">
        <v>0</v>
      </c>
      <c r="S3" s="13"/>
      <c r="T3" s="13"/>
      <c r="U3" s="13"/>
      <c r="V3" s="13">
        <v>101.09</v>
      </c>
      <c r="W3" s="14">
        <v>6.8972286643884146</v>
      </c>
      <c r="X3" s="14">
        <v>-0.86126701822443319</v>
      </c>
      <c r="Y3" s="14">
        <v>273.56102563208344</v>
      </c>
      <c r="Z3" s="14">
        <v>534.1578021410038</v>
      </c>
      <c r="AA3" s="14">
        <v>88.289067860366785</v>
      </c>
      <c r="AB3" s="14">
        <v>12.269172229670222</v>
      </c>
      <c r="AC3" s="14">
        <v>26.61482656366378</v>
      </c>
      <c r="AD3" s="14">
        <v>2.2905892680854887</v>
      </c>
      <c r="AE3" s="14">
        <v>2.3297068521761104</v>
      </c>
      <c r="AF3" s="14">
        <v>26.724451632923685</v>
      </c>
      <c r="AG3" s="14">
        <v>0.47294362485878083</v>
      </c>
      <c r="AH3" s="14">
        <v>5.0653108875878844E-2</v>
      </c>
      <c r="AI3" s="14">
        <v>1.4762627397714825</v>
      </c>
      <c r="AJ3" s="14">
        <v>0.79349071597529119</v>
      </c>
      <c r="AK3" s="14">
        <v>4.4652714966422646</v>
      </c>
      <c r="AL3" s="14">
        <v>3.1153266055537605</v>
      </c>
      <c r="AM3" s="14">
        <v>63.531532949964991</v>
      </c>
      <c r="AN3" s="14">
        <v>26.983289040751753</v>
      </c>
      <c r="AO3" s="14">
        <v>5.947974394042471</v>
      </c>
      <c r="AP3" s="14">
        <v>13.988313055886557</v>
      </c>
      <c r="AQ3" s="14">
        <v>126.40395553399622</v>
      </c>
      <c r="AR3" s="14">
        <v>21507.626312470438</v>
      </c>
      <c r="AS3" s="14">
        <v>2.6575017142655084</v>
      </c>
      <c r="AT3" s="14">
        <v>1.9612597887856082</v>
      </c>
      <c r="AU3" s="14">
        <v>8.6175257154844704</v>
      </c>
      <c r="AV3" s="14">
        <v>1.1270469957192408</v>
      </c>
      <c r="AW3" s="14">
        <v>3.1297645205290512</v>
      </c>
      <c r="AX3" s="14">
        <v>1.6479050921084781</v>
      </c>
      <c r="AY3" s="15">
        <f t="shared" ref="AY3:AY55" si="0">M3*47.9*10000/(47.9+32)-AR3</f>
        <v>-285.34846516130347</v>
      </c>
      <c r="AZ3">
        <f t="shared" ref="AZ3:AZ56" si="1">AY3*100/AR3</f>
        <v>-1.3267315556615107</v>
      </c>
    </row>
    <row r="4" spans="1:52" ht="15" thickBot="1" x14ac:dyDescent="0.4">
      <c r="A4" s="63" t="s">
        <v>51</v>
      </c>
      <c r="B4" s="16"/>
      <c r="C4" s="20">
        <v>30</v>
      </c>
      <c r="D4" s="20">
        <v>51.06</v>
      </c>
      <c r="E4" s="20">
        <v>2</v>
      </c>
      <c r="F4" s="21">
        <v>3</v>
      </c>
      <c r="G4" s="12" t="s">
        <v>56</v>
      </c>
      <c r="H4" s="12">
        <v>0.87</v>
      </c>
      <c r="I4" s="12">
        <v>15.2</v>
      </c>
      <c r="J4" s="12">
        <v>4.41</v>
      </c>
      <c r="K4" s="12">
        <v>51.06</v>
      </c>
      <c r="L4" s="12">
        <v>21.88</v>
      </c>
      <c r="M4" s="12">
        <v>0.94</v>
      </c>
      <c r="N4" s="13"/>
      <c r="O4" s="12">
        <v>0.46</v>
      </c>
      <c r="P4" s="12"/>
      <c r="Q4" s="12">
        <v>4.74</v>
      </c>
      <c r="R4" s="12"/>
      <c r="S4" s="12"/>
      <c r="T4" s="12"/>
      <c r="U4" s="12"/>
      <c r="V4" s="12">
        <v>99.55</v>
      </c>
      <c r="W4" s="14">
        <v>5.3171389816757877</v>
      </c>
      <c r="X4" s="14">
        <v>-4.910749191475122</v>
      </c>
      <c r="Y4" s="14">
        <v>147.08740477176011</v>
      </c>
      <c r="Z4" s="14">
        <v>42.244422104234737</v>
      </c>
      <c r="AA4" s="14">
        <v>15.399266746800278</v>
      </c>
      <c r="AB4" s="14">
        <v>2.939213349307829</v>
      </c>
      <c r="AC4" s="14">
        <v>5.7556147709402143</v>
      </c>
      <c r="AD4" s="14">
        <v>0.71409898193442134</v>
      </c>
      <c r="AE4" s="14">
        <v>0.87152783250351795</v>
      </c>
      <c r="AF4" s="14">
        <v>2.4842751175478992</v>
      </c>
      <c r="AG4" s="14">
        <v>0.10887879566334277</v>
      </c>
      <c r="AH4" s="14">
        <v>2.8330791336197196E-2</v>
      </c>
      <c r="AI4" s="14">
        <v>0.21174344539206233</v>
      </c>
      <c r="AJ4" s="14">
        <v>0.25583036568316675</v>
      </c>
      <c r="AK4" s="14">
        <v>1.5000172335515307</v>
      </c>
      <c r="AL4" s="14">
        <v>0.85420324989070273</v>
      </c>
      <c r="AM4" s="14">
        <v>12.773196243553278</v>
      </c>
      <c r="AN4" s="14">
        <v>4.412233713287919</v>
      </c>
      <c r="AO4" s="14">
        <v>1.1821999252879243</v>
      </c>
      <c r="AP4" s="14">
        <v>5.0679038397661378</v>
      </c>
      <c r="AQ4" s="14">
        <v>165.6432350471467</v>
      </c>
      <c r="AR4" s="14">
        <v>5665.4575671100611</v>
      </c>
      <c r="AS4" s="14">
        <v>3.3167497391855263</v>
      </c>
      <c r="AT4" s="14">
        <v>1.0150535919429076</v>
      </c>
      <c r="AU4" s="14">
        <v>1.8357800277317793</v>
      </c>
      <c r="AV4" s="14">
        <v>0.58841221242137942</v>
      </c>
      <c r="AW4" s="14">
        <v>0.80161228988007627</v>
      </c>
      <c r="AX4" s="14">
        <v>0.54949121972247839</v>
      </c>
      <c r="AY4" s="15">
        <f t="shared" si="0"/>
        <v>-30.163449463003417</v>
      </c>
      <c r="AZ4">
        <f t="shared" si="1"/>
        <v>-0.53240976753780078</v>
      </c>
    </row>
    <row r="5" spans="1:52" ht="15" thickBot="1" x14ac:dyDescent="0.4">
      <c r="A5" s="63" t="s">
        <v>51</v>
      </c>
      <c r="B5" s="22"/>
      <c r="C5" s="23">
        <v>34</v>
      </c>
      <c r="D5" s="23">
        <v>42.8</v>
      </c>
      <c r="E5" s="23">
        <v>2</v>
      </c>
      <c r="F5" s="24">
        <v>4</v>
      </c>
      <c r="G5" s="12" t="s">
        <v>57</v>
      </c>
      <c r="H5" s="12">
        <v>0.49</v>
      </c>
      <c r="I5" s="12">
        <v>11.39</v>
      </c>
      <c r="J5" s="12">
        <v>9.1999999999999993</v>
      </c>
      <c r="K5" s="12">
        <v>42.8</v>
      </c>
      <c r="L5" s="12">
        <v>23.34</v>
      </c>
      <c r="M5" s="12">
        <v>4.2</v>
      </c>
      <c r="N5" s="13"/>
      <c r="O5" s="12"/>
      <c r="P5" s="12"/>
      <c r="Q5" s="12">
        <v>7.59</v>
      </c>
      <c r="R5" s="12"/>
      <c r="S5" s="12"/>
      <c r="T5" s="12"/>
      <c r="U5" s="12"/>
      <c r="V5" s="12">
        <v>99.02</v>
      </c>
      <c r="W5" s="14">
        <v>7.4664669848268375</v>
      </c>
      <c r="X5" s="14">
        <v>0.44898829612710434</v>
      </c>
      <c r="Y5" s="14">
        <v>233.47510395064947</v>
      </c>
      <c r="Z5" s="14">
        <v>387.93520386215852</v>
      </c>
      <c r="AA5" s="14">
        <v>79.562728161457926</v>
      </c>
      <c r="AB5" s="14">
        <v>11.29689979495015</v>
      </c>
      <c r="AC5" s="14">
        <v>26.046133211026898</v>
      </c>
      <c r="AD5" s="14">
        <v>2.2041447275370594</v>
      </c>
      <c r="AE5" s="14">
        <v>2.4055674009851642</v>
      </c>
      <c r="AF5" s="14">
        <v>18.358041681400501</v>
      </c>
      <c r="AG5" s="14">
        <v>0.68480162410887713</v>
      </c>
      <c r="AH5" s="14">
        <v>3.5635398445458571E-2</v>
      </c>
      <c r="AI5" s="14">
        <v>1.0411565625345247</v>
      </c>
      <c r="AJ5" s="14">
        <v>0.74374998756655253</v>
      </c>
      <c r="AK5" s="14">
        <v>4.3181595360150089</v>
      </c>
      <c r="AL5" s="14">
        <v>3.0078566685995418</v>
      </c>
      <c r="AM5" s="14">
        <v>60.870965542530179</v>
      </c>
      <c r="AN5" s="14">
        <v>24.21817131137475</v>
      </c>
      <c r="AO5" s="14">
        <v>4.6954123281562641</v>
      </c>
      <c r="AP5" s="14">
        <v>13.977072254826219</v>
      </c>
      <c r="AQ5" s="14">
        <v>123.65221119232474</v>
      </c>
      <c r="AR5" s="14">
        <v>17654.302403676505</v>
      </c>
      <c r="AS5" s="14">
        <v>2.1783497171993131</v>
      </c>
      <c r="AT5" s="14">
        <v>1.2713945911138731</v>
      </c>
      <c r="AU5" s="14">
        <v>7.4875037864435425</v>
      </c>
      <c r="AV5" s="14">
        <v>1.2497233113133988</v>
      </c>
      <c r="AW5" s="14">
        <v>2.9869708890027744</v>
      </c>
      <c r="AX5" s="14">
        <v>1.5907826321224281</v>
      </c>
      <c r="AY5" s="15">
        <f>M5*47.9*10000/(47.9+32)-AR5</f>
        <v>7524.6713134699276</v>
      </c>
      <c r="AZ5" s="66">
        <f t="shared" si="1"/>
        <v>42.62230895004334</v>
      </c>
    </row>
    <row r="6" spans="1:52" ht="15" thickBot="1" x14ac:dyDescent="0.4">
      <c r="A6" s="63" t="s">
        <v>58</v>
      </c>
      <c r="B6" s="25" t="s">
        <v>59</v>
      </c>
      <c r="C6" s="26">
        <v>47</v>
      </c>
      <c r="D6" s="26">
        <v>52.2</v>
      </c>
      <c r="E6" s="26">
        <v>3</v>
      </c>
      <c r="F6" s="27">
        <v>5</v>
      </c>
      <c r="G6" s="13">
        <v>47</v>
      </c>
      <c r="H6" s="13">
        <v>0.72</v>
      </c>
      <c r="I6" s="13">
        <v>15.64</v>
      </c>
      <c r="J6" s="13">
        <v>3.21</v>
      </c>
      <c r="K6" s="13">
        <v>52.2</v>
      </c>
      <c r="L6" s="13">
        <v>21.95</v>
      </c>
      <c r="M6" s="13">
        <v>0.51</v>
      </c>
      <c r="N6" s="13">
        <v>7.0000000000000007E-2</v>
      </c>
      <c r="O6" s="13">
        <v>0.18</v>
      </c>
      <c r="P6" s="13">
        <v>0.14000000000000001</v>
      </c>
      <c r="Q6" s="13">
        <v>4.8499999999999996</v>
      </c>
      <c r="R6" s="13">
        <v>0</v>
      </c>
      <c r="S6" s="13"/>
      <c r="T6" s="13"/>
      <c r="U6" s="13"/>
      <c r="V6" s="13">
        <v>99.47</v>
      </c>
      <c r="W6" s="14">
        <v>5.7241320541896865</v>
      </c>
      <c r="X6" s="14">
        <v>9.0510054510318308E-2</v>
      </c>
      <c r="Y6" s="14">
        <v>179.41818427294493</v>
      </c>
      <c r="Z6" s="14">
        <v>35.832585454450793</v>
      </c>
      <c r="AA6" s="14">
        <v>23.59069312104257</v>
      </c>
      <c r="AB6" s="14">
        <v>4.3341367030661786</v>
      </c>
      <c r="AC6" s="14">
        <v>9.1678189547394862</v>
      </c>
      <c r="AD6" s="14">
        <v>0.9919309340784821</v>
      </c>
      <c r="AE6" s="14">
        <v>1.0501775762651233</v>
      </c>
      <c r="AF6" s="14">
        <v>2.1955886663981072</v>
      </c>
      <c r="AG6" s="14">
        <v>8.0380047662012552E-2</v>
      </c>
      <c r="AH6" s="14">
        <v>2.8484864610481966E-2</v>
      </c>
      <c r="AI6" s="14">
        <v>0.20494724082618632</v>
      </c>
      <c r="AJ6" s="14">
        <v>0.35360237039523784</v>
      </c>
      <c r="AK6" s="14">
        <v>2.0152785832435622</v>
      </c>
      <c r="AL6" s="14">
        <v>1.2366152323330779</v>
      </c>
      <c r="AM6" s="14">
        <v>19.33084771169321</v>
      </c>
      <c r="AN6" s="14">
        <v>6.7395975063834346</v>
      </c>
      <c r="AO6" s="14">
        <v>1.2648833013787955</v>
      </c>
      <c r="AP6" s="14">
        <v>6.4987432450292557</v>
      </c>
      <c r="AQ6" s="14">
        <v>166.70505208902063</v>
      </c>
      <c r="AR6" s="14">
        <v>3437.3158683992924</v>
      </c>
      <c r="AS6" s="14">
        <v>3.0752481393973392</v>
      </c>
      <c r="AT6" s="14">
        <v>2.9518065724350673</v>
      </c>
      <c r="AU6" s="14">
        <v>3.6462737575931561</v>
      </c>
      <c r="AV6" s="14">
        <v>0.51292300817573733</v>
      </c>
      <c r="AW6" s="14">
        <v>1.2202353223799105</v>
      </c>
      <c r="AX6" s="14">
        <v>0.74136066672520196</v>
      </c>
      <c r="AY6" s="15">
        <f t="shared" si="0"/>
        <v>-379.86905988865465</v>
      </c>
      <c r="AZ6">
        <f t="shared" si="1"/>
        <v>-11.051328258218938</v>
      </c>
    </row>
    <row r="7" spans="1:52" ht="15" thickBot="1" x14ac:dyDescent="0.4">
      <c r="A7" s="63" t="s">
        <v>58</v>
      </c>
      <c r="B7" s="28"/>
      <c r="C7" s="29">
        <v>46</v>
      </c>
      <c r="D7" s="29">
        <v>51.81</v>
      </c>
      <c r="E7" s="29">
        <v>3</v>
      </c>
      <c r="F7" s="30">
        <v>6</v>
      </c>
      <c r="G7" s="13">
        <v>46</v>
      </c>
      <c r="H7" s="13">
        <v>0.77</v>
      </c>
      <c r="I7" s="13">
        <v>15.61</v>
      </c>
      <c r="J7" s="13">
        <v>3.11</v>
      </c>
      <c r="K7" s="13">
        <v>51.81</v>
      </c>
      <c r="L7" s="13">
        <v>21.85</v>
      </c>
      <c r="M7" s="13">
        <v>0.65</v>
      </c>
      <c r="N7" s="13">
        <v>0</v>
      </c>
      <c r="O7" s="13">
        <v>1.08</v>
      </c>
      <c r="P7" s="13">
        <v>0.12</v>
      </c>
      <c r="Q7" s="13">
        <v>4.3499999999999996</v>
      </c>
      <c r="R7" s="13">
        <v>0</v>
      </c>
      <c r="S7" s="13"/>
      <c r="T7" s="13"/>
      <c r="U7" s="13"/>
      <c r="V7" s="13">
        <v>99.47</v>
      </c>
      <c r="W7" s="14">
        <v>5.3678865024870905</v>
      </c>
      <c r="X7" s="14">
        <v>-3.5747287023832506</v>
      </c>
      <c r="Y7" s="14">
        <v>178.1483658998888</v>
      </c>
      <c r="Z7" s="14">
        <v>40.454051452661844</v>
      </c>
      <c r="AA7" s="14">
        <v>24.396055725641197</v>
      </c>
      <c r="AB7" s="14">
        <v>4.1570710943100497</v>
      </c>
      <c r="AC7" s="14">
        <v>8.9022250745822387</v>
      </c>
      <c r="AD7" s="14">
        <v>0.98248520026335251</v>
      </c>
      <c r="AE7" s="14">
        <v>1.0308241255553003</v>
      </c>
      <c r="AF7" s="14">
        <v>2.3354505294940466</v>
      </c>
      <c r="AG7" s="14">
        <v>0.13691393072515326</v>
      </c>
      <c r="AH7" s="14">
        <v>3.3814343881238787E-2</v>
      </c>
      <c r="AI7" s="14">
        <v>0.20939139121562678</v>
      </c>
      <c r="AJ7" s="14">
        <v>0.35905739008409188</v>
      </c>
      <c r="AK7" s="14">
        <v>2.1303399904593023</v>
      </c>
      <c r="AL7" s="14">
        <v>1.2662844215231814</v>
      </c>
      <c r="AM7" s="14">
        <v>19.305110644711942</v>
      </c>
      <c r="AN7" s="14">
        <v>7.6189081637667551</v>
      </c>
      <c r="AO7" s="14">
        <v>1.9654637700304931</v>
      </c>
      <c r="AP7" s="14">
        <v>6.989174094415473</v>
      </c>
      <c r="AQ7" s="14">
        <v>151.76137857913415</v>
      </c>
      <c r="AR7" s="14">
        <v>4187.4483224137502</v>
      </c>
      <c r="AS7" s="14">
        <v>3.6061109193036325</v>
      </c>
      <c r="AT7" s="14">
        <v>4.1327970445612898</v>
      </c>
      <c r="AU7" s="14">
        <v>3.9142167415369524</v>
      </c>
      <c r="AV7" s="14">
        <v>0.52250772703916304</v>
      </c>
      <c r="AW7" s="14">
        <v>1.1962597850238934</v>
      </c>
      <c r="AX7" s="14">
        <v>0.73683821016246243</v>
      </c>
      <c r="AY7" s="15">
        <f t="shared" si="0"/>
        <v>-290.70238999823096</v>
      </c>
      <c r="AZ7">
        <f t="shared" si="1"/>
        <v>-6.9422323003299251</v>
      </c>
    </row>
    <row r="8" spans="1:52" ht="15" thickBot="1" x14ac:dyDescent="0.4">
      <c r="A8" s="63" t="s">
        <v>58</v>
      </c>
      <c r="B8" s="28"/>
      <c r="C8" s="29">
        <v>45</v>
      </c>
      <c r="D8" s="29">
        <v>46.89</v>
      </c>
      <c r="E8" s="29">
        <v>3</v>
      </c>
      <c r="F8" s="30">
        <v>7</v>
      </c>
      <c r="G8" s="13">
        <v>45</v>
      </c>
      <c r="H8" s="13">
        <v>0.38</v>
      </c>
      <c r="I8" s="13">
        <v>13.48</v>
      </c>
      <c r="J8" s="13">
        <v>6.2</v>
      </c>
      <c r="K8" s="13">
        <v>46.89</v>
      </c>
      <c r="L8" s="13">
        <v>23.89</v>
      </c>
      <c r="M8" s="13">
        <v>2.35</v>
      </c>
      <c r="N8" s="13">
        <v>0</v>
      </c>
      <c r="O8" s="13">
        <v>0</v>
      </c>
      <c r="P8" s="13">
        <v>0</v>
      </c>
      <c r="Q8" s="13">
        <v>6.09</v>
      </c>
      <c r="R8" s="13">
        <v>0</v>
      </c>
      <c r="S8" s="13"/>
      <c r="T8" s="13"/>
      <c r="U8" s="13"/>
      <c r="V8" s="13">
        <v>99.28</v>
      </c>
      <c r="W8" s="14">
        <v>7.0661400964142524</v>
      </c>
      <c r="X8" s="14">
        <v>2.0201758183930316</v>
      </c>
      <c r="Y8" s="14">
        <v>321.79407228227336</v>
      </c>
      <c r="Z8" s="14">
        <v>338.10856359098727</v>
      </c>
      <c r="AA8" s="14">
        <v>76.497649211363168</v>
      </c>
      <c r="AB8" s="14">
        <v>10.725516393355793</v>
      </c>
      <c r="AC8" s="14">
        <v>25.06541761248268</v>
      </c>
      <c r="AD8" s="14">
        <v>2.2048776871957414</v>
      </c>
      <c r="AE8" s="14">
        <v>2.3477335780931101</v>
      </c>
      <c r="AF8" s="14">
        <v>15.37466273661291</v>
      </c>
      <c r="AG8" s="14">
        <v>0.33805237051971515</v>
      </c>
      <c r="AH8" s="14">
        <v>5.3797336031346107E-2</v>
      </c>
      <c r="AI8" s="14">
        <v>0.97360094643772754</v>
      </c>
      <c r="AJ8" s="14">
        <v>0.78676216853693759</v>
      </c>
      <c r="AK8" s="14">
        <v>4.2638078420580205</v>
      </c>
      <c r="AL8" s="14">
        <v>2.994196903531845</v>
      </c>
      <c r="AM8" s="14">
        <v>61.724435390885631</v>
      </c>
      <c r="AN8" s="14">
        <v>25.47611430164741</v>
      </c>
      <c r="AO8" s="14">
        <v>5.0520722715418929</v>
      </c>
      <c r="AP8" s="14">
        <v>14.183493220226993</v>
      </c>
      <c r="AQ8" s="14">
        <v>108.36752716566996</v>
      </c>
      <c r="AR8" s="14">
        <v>15491.641700526774</v>
      </c>
      <c r="AS8" s="14">
        <v>3.1126162873096082</v>
      </c>
      <c r="AT8" s="14">
        <v>0.6366952098768992</v>
      </c>
      <c r="AU8" s="14">
        <v>6.9735429317931521</v>
      </c>
      <c r="AV8" s="14">
        <v>1.2767744091346194</v>
      </c>
      <c r="AW8" s="14">
        <v>2.9502011546396223</v>
      </c>
      <c r="AX8" s="14">
        <v>1.5990661043756116</v>
      </c>
      <c r="AY8" s="15">
        <f t="shared" si="0"/>
        <v>-1403.4064064091272</v>
      </c>
      <c r="AZ8">
        <f t="shared" si="1"/>
        <v>-9.0591199663584145</v>
      </c>
    </row>
    <row r="9" spans="1:52" ht="15" thickBot="1" x14ac:dyDescent="0.4">
      <c r="A9" s="63" t="s">
        <v>58</v>
      </c>
      <c r="B9" s="28"/>
      <c r="C9" s="29">
        <v>43</v>
      </c>
      <c r="D9" s="29">
        <v>47.97</v>
      </c>
      <c r="E9" s="29">
        <v>3</v>
      </c>
      <c r="F9" s="30">
        <v>8</v>
      </c>
      <c r="G9" s="13">
        <v>43</v>
      </c>
      <c r="H9" s="13">
        <v>0.4</v>
      </c>
      <c r="I9" s="13">
        <v>13.73</v>
      </c>
      <c r="J9" s="13">
        <v>5.59</v>
      </c>
      <c r="K9" s="13">
        <v>47.97</v>
      </c>
      <c r="L9" s="13">
        <v>23.82</v>
      </c>
      <c r="M9" s="13">
        <v>2.0699999999999998</v>
      </c>
      <c r="N9" s="13">
        <v>0</v>
      </c>
      <c r="O9" s="13">
        <v>0</v>
      </c>
      <c r="P9" s="13">
        <v>0.14000000000000001</v>
      </c>
      <c r="Q9" s="13">
        <v>5.93</v>
      </c>
      <c r="R9" s="13">
        <v>0</v>
      </c>
      <c r="S9" s="13"/>
      <c r="T9" s="13"/>
      <c r="U9" s="13"/>
      <c r="V9" s="13">
        <v>99.66</v>
      </c>
      <c r="W9" s="14">
        <v>6.524833297330245</v>
      </c>
      <c r="X9" s="14">
        <v>2.6322441936279484</v>
      </c>
      <c r="Y9" s="14">
        <v>296.40007300187273</v>
      </c>
      <c r="Z9" s="14">
        <v>273.83003843254824</v>
      </c>
      <c r="AA9" s="14">
        <v>67.822171118996337</v>
      </c>
      <c r="AB9" s="14">
        <v>10.119291696515575</v>
      </c>
      <c r="AC9" s="14">
        <v>23.831064043862046</v>
      </c>
      <c r="AD9" s="14">
        <v>2.1328826164364583</v>
      </c>
      <c r="AE9" s="14">
        <v>2.2971071276908113</v>
      </c>
      <c r="AF9" s="14">
        <v>12.327008020432592</v>
      </c>
      <c r="AG9" s="14">
        <v>0.26202198431881468</v>
      </c>
      <c r="AH9" s="14">
        <v>2.6726824948113688E-2</v>
      </c>
      <c r="AI9" s="14">
        <v>0.64045728869691632</v>
      </c>
      <c r="AJ9" s="14">
        <v>0.72667765327555389</v>
      </c>
      <c r="AK9" s="14">
        <v>4.290680104465566</v>
      </c>
      <c r="AL9" s="14">
        <v>2.6841932757850793</v>
      </c>
      <c r="AM9" s="14">
        <v>51.143521410421343</v>
      </c>
      <c r="AN9" s="14">
        <v>22.01571794929588</v>
      </c>
      <c r="AO9" s="14">
        <v>2.4470259632609568</v>
      </c>
      <c r="AP9" s="14">
        <v>13.586641652769773</v>
      </c>
      <c r="AQ9" s="14">
        <v>84.927852576334018</v>
      </c>
      <c r="AR9" s="14">
        <v>11294.278788731841</v>
      </c>
      <c r="AS9" s="14">
        <v>3.9621413006247894</v>
      </c>
      <c r="AT9" s="14">
        <v>0.49489562889249639</v>
      </c>
      <c r="AU9" s="14">
        <v>7.711423416180283</v>
      </c>
      <c r="AV9" s="14">
        <v>1.1327748162112581</v>
      </c>
      <c r="AW9" s="14">
        <v>2.6409882693511122</v>
      </c>
      <c r="AX9" s="14">
        <v>1.5905666183734608</v>
      </c>
      <c r="AY9" s="15">
        <f t="shared" si="0"/>
        <v>1115.3582575760411</v>
      </c>
      <c r="AZ9">
        <f t="shared" si="1"/>
        <v>9.8754270054748421</v>
      </c>
    </row>
    <row r="10" spans="1:52" ht="15" thickBot="1" x14ac:dyDescent="0.4">
      <c r="A10" s="63" t="s">
        <v>58</v>
      </c>
      <c r="B10" s="28"/>
      <c r="C10" s="31">
        <v>35</v>
      </c>
      <c r="D10" s="31">
        <v>52.29</v>
      </c>
      <c r="E10" s="31">
        <v>4</v>
      </c>
      <c r="F10" s="32">
        <v>9</v>
      </c>
      <c r="G10" s="13">
        <v>35</v>
      </c>
      <c r="H10" s="13">
        <v>0.83</v>
      </c>
      <c r="I10" s="13">
        <v>15.85</v>
      </c>
      <c r="J10" s="13">
        <v>2.42</v>
      </c>
      <c r="K10" s="13">
        <v>52.29</v>
      </c>
      <c r="L10" s="13">
        <v>21.84</v>
      </c>
      <c r="M10" s="13">
        <v>0.59</v>
      </c>
      <c r="N10" s="13">
        <v>0</v>
      </c>
      <c r="O10" s="13">
        <v>0.5</v>
      </c>
      <c r="P10" s="13">
        <v>0.11</v>
      </c>
      <c r="Q10" s="13">
        <v>4.5</v>
      </c>
      <c r="R10" s="13">
        <v>0</v>
      </c>
      <c r="S10" s="13"/>
      <c r="T10" s="13"/>
      <c r="U10" s="13"/>
      <c r="V10" s="13">
        <v>98.94</v>
      </c>
      <c r="W10" s="14">
        <v>5.3584003894496277</v>
      </c>
      <c r="X10" s="14">
        <v>-2.0369444565890755</v>
      </c>
      <c r="Y10" s="14">
        <v>151.2600746250171</v>
      </c>
      <c r="Z10" s="14">
        <v>30.012707502245018</v>
      </c>
      <c r="AA10" s="14">
        <v>20.474901749743438</v>
      </c>
      <c r="AB10" s="14">
        <v>3.2586950466507916</v>
      </c>
      <c r="AC10" s="14">
        <v>6.8377718773719538</v>
      </c>
      <c r="AD10" s="14">
        <v>0.85417434832865002</v>
      </c>
      <c r="AE10" s="14">
        <v>0.92734690932066943</v>
      </c>
      <c r="AF10" s="14">
        <v>2.1311603268460186</v>
      </c>
      <c r="AG10" s="14">
        <v>0.21705619399967305</v>
      </c>
      <c r="AH10" s="14">
        <v>4.9754489566972211E-2</v>
      </c>
      <c r="AI10" s="14">
        <v>0.2081156816628095</v>
      </c>
      <c r="AJ10" s="14">
        <v>0.30495063507113263</v>
      </c>
      <c r="AK10" s="14">
        <v>1.9015376625130738</v>
      </c>
      <c r="AL10" s="14">
        <v>1.1508779433789251</v>
      </c>
      <c r="AM10" s="14">
        <v>18.112326824924935</v>
      </c>
      <c r="AN10" s="14">
        <v>7.6838488265205225</v>
      </c>
      <c r="AO10" s="14">
        <v>1.833540020761997</v>
      </c>
      <c r="AP10" s="14">
        <v>6.0432252485395299</v>
      </c>
      <c r="AQ10" s="14">
        <v>181.16752626973764</v>
      </c>
      <c r="AR10" s="14">
        <v>4479.4552738473194</v>
      </c>
      <c r="AS10" s="14">
        <v>8.9064359515605531</v>
      </c>
      <c r="AT10" s="14">
        <v>1.1529294145725273</v>
      </c>
      <c r="AU10" s="14">
        <v>1.7717787171774644</v>
      </c>
      <c r="AV10" s="14">
        <v>0.66723031444059022</v>
      </c>
      <c r="AW10" s="14">
        <v>1.0727060164093196</v>
      </c>
      <c r="AX10" s="14">
        <v>0.63389861266241909</v>
      </c>
      <c r="AY10" s="15">
        <f t="shared" si="0"/>
        <v>-942.40896596246375</v>
      </c>
      <c r="AZ10" s="66">
        <f t="shared" si="1"/>
        <v>-21.03847250054238</v>
      </c>
    </row>
    <row r="11" spans="1:52" ht="15" thickBot="1" x14ac:dyDescent="0.4">
      <c r="A11" s="63" t="s">
        <v>58</v>
      </c>
      <c r="B11" s="28"/>
      <c r="C11" s="31">
        <v>36</v>
      </c>
      <c r="D11" s="31">
        <v>52.53</v>
      </c>
      <c r="E11" s="31">
        <v>4</v>
      </c>
      <c r="F11" s="32">
        <v>10</v>
      </c>
      <c r="G11" s="13">
        <v>36</v>
      </c>
      <c r="H11" s="13">
        <v>0.88</v>
      </c>
      <c r="I11" s="13">
        <v>15.79</v>
      </c>
      <c r="J11" s="13">
        <v>2.35</v>
      </c>
      <c r="K11" s="13">
        <v>52.53</v>
      </c>
      <c r="L11" s="13">
        <v>21.77</v>
      </c>
      <c r="M11" s="13">
        <v>0.55000000000000004</v>
      </c>
      <c r="N11" s="13">
        <v>0</v>
      </c>
      <c r="O11" s="13">
        <v>0.61</v>
      </c>
      <c r="P11" s="13">
        <v>0.15</v>
      </c>
      <c r="Q11" s="13">
        <v>4.42</v>
      </c>
      <c r="R11" s="13">
        <v>0</v>
      </c>
      <c r="S11" s="13"/>
      <c r="T11" s="13"/>
      <c r="U11" s="13"/>
      <c r="V11" s="13">
        <v>99.06</v>
      </c>
      <c r="W11" s="14">
        <v>6.1968263239320072</v>
      </c>
      <c r="X11" s="14">
        <v>2.8103095925652393</v>
      </c>
      <c r="Y11" s="14">
        <v>178.72574478329346</v>
      </c>
      <c r="Z11" s="14">
        <v>45.055448427641721</v>
      </c>
      <c r="AA11" s="14">
        <v>23.45756642818451</v>
      </c>
      <c r="AB11" s="14">
        <v>3.6047867998464427</v>
      </c>
      <c r="AC11" s="14">
        <v>7.1424106526120452</v>
      </c>
      <c r="AD11" s="14">
        <v>0.87360240985243764</v>
      </c>
      <c r="AE11" s="14">
        <v>0.83450126389507939</v>
      </c>
      <c r="AF11" s="14">
        <v>1.8911826681740314</v>
      </c>
      <c r="AG11" s="14">
        <v>0.29455357468406651</v>
      </c>
      <c r="AH11" s="14">
        <v>0.40278414626409925</v>
      </c>
      <c r="AI11" s="14">
        <v>0.19939966350698909</v>
      </c>
      <c r="AJ11" s="14">
        <v>0.27846157206939276</v>
      </c>
      <c r="AK11" s="14">
        <v>1.6994150494931239</v>
      </c>
      <c r="AL11" s="14">
        <v>1.0563291302754636</v>
      </c>
      <c r="AM11" s="14">
        <v>16.178842223798377</v>
      </c>
      <c r="AN11" s="14">
        <v>7.5193612885351913</v>
      </c>
      <c r="AO11" s="14">
        <v>6.3569719531076512</v>
      </c>
      <c r="AP11" s="14">
        <v>5.5243600197953562</v>
      </c>
      <c r="AQ11" s="14">
        <v>133.31578300425969</v>
      </c>
      <c r="AR11" s="14">
        <v>3758.1207574935256</v>
      </c>
      <c r="AS11" s="14">
        <v>31.340946342007708</v>
      </c>
      <c r="AT11" s="14">
        <v>3.7638965330223</v>
      </c>
      <c r="AU11" s="14">
        <v>2.7784550738891869</v>
      </c>
      <c r="AV11" s="14">
        <v>0.47981462800984731</v>
      </c>
      <c r="AW11" s="14">
        <v>1.0095460149163882</v>
      </c>
      <c r="AX11" s="14">
        <v>0.666296318786603</v>
      </c>
      <c r="AY11" s="15">
        <f t="shared" si="0"/>
        <v>-460.87419929577845</v>
      </c>
      <c r="AZ11">
        <f t="shared" si="1"/>
        <v>-12.263421774747812</v>
      </c>
    </row>
    <row r="12" spans="1:52" ht="15" thickBot="1" x14ac:dyDescent="0.4">
      <c r="A12" s="63" t="s">
        <v>58</v>
      </c>
      <c r="B12" s="33"/>
      <c r="C12" s="34">
        <v>37</v>
      </c>
      <c r="D12" s="34">
        <v>49.29</v>
      </c>
      <c r="E12" s="34">
        <v>4</v>
      </c>
      <c r="F12" s="35">
        <v>11</v>
      </c>
      <c r="G12" s="13">
        <v>37</v>
      </c>
      <c r="H12" s="13">
        <v>0.47</v>
      </c>
      <c r="I12" s="13">
        <v>14.36</v>
      </c>
      <c r="J12" s="13">
        <v>4.3899999999999997</v>
      </c>
      <c r="K12" s="13">
        <v>49.29</v>
      </c>
      <c r="L12" s="13">
        <v>23.59</v>
      </c>
      <c r="M12" s="13">
        <v>1.5</v>
      </c>
      <c r="N12" s="13">
        <v>0</v>
      </c>
      <c r="O12" s="13">
        <v>0.47</v>
      </c>
      <c r="P12" s="13">
        <v>7.0000000000000007E-2</v>
      </c>
      <c r="Q12" s="13">
        <v>5.17</v>
      </c>
      <c r="R12" s="13">
        <v>0</v>
      </c>
      <c r="S12" s="13"/>
      <c r="T12" s="13"/>
      <c r="U12" s="13"/>
      <c r="V12" s="13">
        <v>99.32</v>
      </c>
      <c r="W12" s="14">
        <v>7.9951991687846888</v>
      </c>
      <c r="X12" s="14">
        <v>-4.1410275667056471</v>
      </c>
      <c r="Y12" s="14">
        <v>311.90671191140638</v>
      </c>
      <c r="Z12" s="14">
        <v>497.75147152268636</v>
      </c>
      <c r="AA12" s="14">
        <v>103.63147977038054</v>
      </c>
      <c r="AB12" s="14">
        <v>15.840966368760563</v>
      </c>
      <c r="AC12" s="14">
        <v>33.985356433112642</v>
      </c>
      <c r="AD12" s="14">
        <v>2.9897178219735938</v>
      </c>
      <c r="AE12" s="14">
        <v>3.3919432734598227</v>
      </c>
      <c r="AF12" s="14">
        <v>23.705347150549031</v>
      </c>
      <c r="AG12" s="14">
        <v>0.7034636981895801</v>
      </c>
      <c r="AH12" s="14">
        <v>2.0465832185905697E-2</v>
      </c>
      <c r="AI12" s="14">
        <v>1.3912295868081854</v>
      </c>
      <c r="AJ12" s="14">
        <v>1.0418336651694409</v>
      </c>
      <c r="AK12" s="14">
        <v>6.3294662875467331</v>
      </c>
      <c r="AL12" s="14">
        <v>4.0152315426219669</v>
      </c>
      <c r="AM12" s="14">
        <v>78.930718041029408</v>
      </c>
      <c r="AN12" s="14">
        <v>32.152854050027791</v>
      </c>
      <c r="AO12" s="14">
        <v>5.6717566164987634</v>
      </c>
      <c r="AP12" s="14">
        <v>19.498347313474426</v>
      </c>
      <c r="AQ12" s="14">
        <v>110.9585588217806</v>
      </c>
      <c r="AR12" s="14">
        <v>16514.570094767958</v>
      </c>
      <c r="AS12" s="14">
        <v>4.7216867550881361</v>
      </c>
      <c r="AT12" s="14">
        <v>0.6211767730285781</v>
      </c>
      <c r="AU12" s="14">
        <v>11.980494512096955</v>
      </c>
      <c r="AV12" s="14">
        <v>1.7131511754981896</v>
      </c>
      <c r="AW12" s="14">
        <v>4.0033150215794855</v>
      </c>
      <c r="AX12" s="14">
        <v>2.1676536701998734</v>
      </c>
      <c r="AY12" s="15">
        <f t="shared" si="0"/>
        <v>-7522.079481501376</v>
      </c>
      <c r="AZ12" s="66">
        <f t="shared" si="1"/>
        <v>-45.54813984461196</v>
      </c>
    </row>
    <row r="13" spans="1:52" ht="15" thickBot="1" x14ac:dyDescent="0.4">
      <c r="A13" s="63" t="s">
        <v>60</v>
      </c>
      <c r="B13" s="36" t="s">
        <v>61</v>
      </c>
      <c r="C13" s="9">
        <v>1</v>
      </c>
      <c r="D13" s="9">
        <v>50.73</v>
      </c>
      <c r="E13" s="9">
        <v>5</v>
      </c>
      <c r="F13" s="10">
        <v>12</v>
      </c>
      <c r="G13" s="13">
        <v>1</v>
      </c>
      <c r="H13" s="13">
        <v>1.65</v>
      </c>
      <c r="I13" s="13">
        <v>11.21</v>
      </c>
      <c r="J13" s="13">
        <v>5.04</v>
      </c>
      <c r="K13" s="13">
        <v>50.73</v>
      </c>
      <c r="L13" s="13">
        <v>20.16</v>
      </c>
      <c r="M13" s="13">
        <v>0.61</v>
      </c>
      <c r="N13" s="13"/>
      <c r="O13" s="13">
        <v>0.13</v>
      </c>
      <c r="P13" s="13">
        <v>0.16</v>
      </c>
      <c r="Q13" s="13">
        <v>10.15</v>
      </c>
      <c r="V13" s="13">
        <v>99.82</v>
      </c>
      <c r="W13" s="14">
        <v>12.199804987200361</v>
      </c>
      <c r="X13" s="14">
        <v>1.1584810698281527</v>
      </c>
      <c r="Y13" s="14">
        <v>42.067918356096833</v>
      </c>
      <c r="Z13" s="14">
        <v>86.043605017757102</v>
      </c>
      <c r="AA13" s="14">
        <v>81.564502969431913</v>
      </c>
      <c r="AB13" s="14">
        <v>19.721659738550077</v>
      </c>
      <c r="AC13" s="14">
        <v>36.936697624144841</v>
      </c>
      <c r="AD13" s="14">
        <v>1.9131338088761149</v>
      </c>
      <c r="AE13" s="14">
        <v>2.5116132488077416</v>
      </c>
      <c r="AF13" s="14">
        <v>5.9260275500313355</v>
      </c>
      <c r="AG13" s="14">
        <v>6.0300037781136663E-2</v>
      </c>
      <c r="AH13" s="14">
        <v>3.0565514819167985E-2</v>
      </c>
      <c r="AI13" s="14">
        <v>0.28914507848875237</v>
      </c>
      <c r="AJ13" s="14">
        <v>0.87673604828600216</v>
      </c>
      <c r="AK13" s="14">
        <v>6.3307521167422092</v>
      </c>
      <c r="AL13" s="14">
        <v>2.9229416070343177</v>
      </c>
      <c r="AM13" s="14">
        <v>89.699342031460489</v>
      </c>
      <c r="AN13" s="14">
        <v>14.990773999994389</v>
      </c>
      <c r="AO13" s="14">
        <v>0.24494971762341461</v>
      </c>
      <c r="AP13" s="14">
        <v>14.025102408669413</v>
      </c>
      <c r="AQ13" s="14">
        <v>457.55128070372336</v>
      </c>
      <c r="AR13" s="14">
        <v>3888.3338374348727</v>
      </c>
      <c r="AS13" s="14">
        <v>1.8130520872447344</v>
      </c>
      <c r="AT13" s="14">
        <v>38.631132854824102</v>
      </c>
      <c r="AU13" s="14">
        <v>13.40892050426652</v>
      </c>
      <c r="AV13" s="14">
        <v>0.44916038431219413</v>
      </c>
      <c r="AW13" s="14">
        <v>2.8834679795531293</v>
      </c>
      <c r="AX13" s="14">
        <v>1.3210256070482203</v>
      </c>
      <c r="AY13" s="15">
        <f t="shared" si="0"/>
        <v>-231.3876547064624</v>
      </c>
      <c r="AZ13">
        <f t="shared" si="1"/>
        <v>-5.9508176093004517</v>
      </c>
    </row>
    <row r="14" spans="1:52" ht="15" thickBot="1" x14ac:dyDescent="0.4">
      <c r="A14" s="63" t="s">
        <v>60</v>
      </c>
      <c r="B14" s="37"/>
      <c r="C14" s="18">
        <v>2</v>
      </c>
      <c r="D14" s="18">
        <v>52.41</v>
      </c>
      <c r="E14" s="18">
        <v>5</v>
      </c>
      <c r="F14" s="19">
        <v>13</v>
      </c>
      <c r="G14" s="13">
        <v>2</v>
      </c>
      <c r="H14" s="13">
        <v>0.77</v>
      </c>
      <c r="I14" s="13">
        <v>15.63</v>
      </c>
      <c r="J14" s="13">
        <v>2.57</v>
      </c>
      <c r="K14" s="13">
        <v>52.41</v>
      </c>
      <c r="L14" s="13">
        <v>22.37</v>
      </c>
      <c r="M14" s="13">
        <v>0.44</v>
      </c>
      <c r="N14" s="13"/>
      <c r="O14" s="13">
        <v>0.26</v>
      </c>
      <c r="P14" s="13">
        <v>0.1</v>
      </c>
      <c r="Q14" s="13">
        <v>4.72</v>
      </c>
      <c r="V14" s="13">
        <v>99.28</v>
      </c>
      <c r="W14" s="14">
        <v>5.7674317106192756</v>
      </c>
      <c r="X14" s="14">
        <v>0.26485707564721689</v>
      </c>
      <c r="Y14" s="14">
        <v>167.04373094537482</v>
      </c>
      <c r="Z14" s="14">
        <v>28.728531120573429</v>
      </c>
      <c r="AA14" s="14">
        <v>11.343575471551594</v>
      </c>
      <c r="AB14" s="14">
        <v>2.380890322795858</v>
      </c>
      <c r="AC14" s="14">
        <v>4.8740943950594522</v>
      </c>
      <c r="AD14" s="14">
        <v>1.0379092402340302</v>
      </c>
      <c r="AE14" s="14">
        <v>1.1048262104715358</v>
      </c>
      <c r="AF14" s="14">
        <v>1.9343871816245952</v>
      </c>
      <c r="AG14" s="14">
        <v>2.6361928261847821E-2</v>
      </c>
      <c r="AH14" s="14">
        <v>3.5247235241933905E-2</v>
      </c>
      <c r="AI14" s="14">
        <v>0.158009102568343</v>
      </c>
      <c r="AJ14" s="14">
        <v>0.31183478635940992</v>
      </c>
      <c r="AK14" s="14">
        <v>1.589789794363387</v>
      </c>
      <c r="AL14" s="14">
        <v>3.0686604347510915</v>
      </c>
      <c r="AM14" s="14">
        <v>8.6411615437533182</v>
      </c>
      <c r="AN14" s="14">
        <v>3.8996570264737236</v>
      </c>
      <c r="AO14" s="14">
        <v>0.74348610757357314</v>
      </c>
      <c r="AP14" s="14">
        <v>6.2579073558230949</v>
      </c>
      <c r="AQ14" s="14">
        <v>131.32548735861292</v>
      </c>
      <c r="AR14" s="14">
        <v>2758.9932066252081</v>
      </c>
      <c r="AS14" s="14">
        <v>2.3470222056313328</v>
      </c>
      <c r="AT14" s="14">
        <v>1.5191808302176197</v>
      </c>
      <c r="AU14" s="14">
        <v>2.5585350301629695</v>
      </c>
      <c r="AV14" s="14">
        <v>0.76271069938341929</v>
      </c>
      <c r="AW14" s="14">
        <v>1.1320434538459514</v>
      </c>
      <c r="AX14" s="14">
        <v>0.80544880765740601</v>
      </c>
      <c r="AY14" s="15">
        <f t="shared" si="0"/>
        <v>-121.19596006701067</v>
      </c>
      <c r="AZ14">
        <f t="shared" si="1"/>
        <v>-4.3927603654833636</v>
      </c>
    </row>
    <row r="15" spans="1:52" ht="15" thickBot="1" x14ac:dyDescent="0.4">
      <c r="A15" s="63" t="s">
        <v>60</v>
      </c>
      <c r="B15" s="37"/>
      <c r="C15" s="18">
        <v>3</v>
      </c>
      <c r="D15" s="18">
        <v>48.97</v>
      </c>
      <c r="E15" s="18">
        <v>5</v>
      </c>
      <c r="F15" s="19">
        <v>14</v>
      </c>
      <c r="G15" s="13">
        <v>3</v>
      </c>
      <c r="H15" s="13">
        <v>0.48</v>
      </c>
      <c r="I15" s="13">
        <v>13.62</v>
      </c>
      <c r="J15" s="13">
        <v>4.01</v>
      </c>
      <c r="K15" s="13">
        <v>48.97</v>
      </c>
      <c r="L15" s="13">
        <v>23.65</v>
      </c>
      <c r="M15" s="13">
        <v>1.35</v>
      </c>
      <c r="N15" s="13"/>
      <c r="O15" s="13">
        <v>0</v>
      </c>
      <c r="P15" s="13">
        <v>0.11</v>
      </c>
      <c r="Q15" s="13">
        <v>7.05</v>
      </c>
      <c r="V15" s="13">
        <v>99.24</v>
      </c>
      <c r="W15" s="14">
        <v>11.901713894988236</v>
      </c>
      <c r="X15" s="14">
        <v>3.7427280005452066</v>
      </c>
      <c r="Y15" s="14">
        <v>307.21460170677676</v>
      </c>
      <c r="Z15" s="14">
        <v>261.45484704261577</v>
      </c>
      <c r="AA15" s="14">
        <v>41.047441436672813</v>
      </c>
      <c r="AB15" s="14">
        <v>6.8873434935532716</v>
      </c>
      <c r="AC15" s="14">
        <v>14.760205906658374</v>
      </c>
      <c r="AD15" s="14">
        <v>2.3815085834145866</v>
      </c>
      <c r="AE15" s="14">
        <v>3.246049787233904</v>
      </c>
      <c r="AF15" s="14">
        <v>11.607093560124063</v>
      </c>
      <c r="AG15" s="14">
        <v>0.23625712470123517</v>
      </c>
      <c r="AH15" s="14">
        <v>6.1351110871398898E-2</v>
      </c>
      <c r="AI15" s="14">
        <v>0.6054857705159975</v>
      </c>
      <c r="AJ15" s="14">
        <v>0.80346967750828469</v>
      </c>
      <c r="AK15" s="14">
        <v>4.0733347752122429</v>
      </c>
      <c r="AL15" s="14">
        <v>2.0158570859255067</v>
      </c>
      <c r="AM15" s="14">
        <v>28.040126853933561</v>
      </c>
      <c r="AN15" s="14">
        <v>14.756811300078175</v>
      </c>
      <c r="AO15" s="14">
        <v>6.399472473670798</v>
      </c>
      <c r="AP15" s="14">
        <v>16.93000038023688</v>
      </c>
      <c r="AQ15" s="14">
        <v>103.36283549514413</v>
      </c>
      <c r="AR15" s="14">
        <v>8486.8922896202657</v>
      </c>
      <c r="AS15" s="14">
        <v>4.5962429359072656</v>
      </c>
      <c r="AT15" s="14">
        <v>3.9412656903651655</v>
      </c>
      <c r="AU15" s="14">
        <v>5.5974637610542155</v>
      </c>
      <c r="AV15" s="14">
        <v>2.3863182101365852</v>
      </c>
      <c r="AW15" s="14">
        <v>1.993616582992682</v>
      </c>
      <c r="AX15" s="14">
        <v>1.9721276787329229</v>
      </c>
      <c r="AY15" s="15">
        <f t="shared" si="0"/>
        <v>-393.65073768034017</v>
      </c>
      <c r="AZ15">
        <f t="shared" si="1"/>
        <v>-4.6383378537958739</v>
      </c>
    </row>
    <row r="16" spans="1:52" ht="15" thickBot="1" x14ac:dyDescent="0.4">
      <c r="A16" s="63" t="s">
        <v>60</v>
      </c>
      <c r="B16" s="37"/>
      <c r="C16" s="38" t="s">
        <v>62</v>
      </c>
      <c r="D16" s="38">
        <v>52.51</v>
      </c>
      <c r="E16" s="38">
        <v>14</v>
      </c>
      <c r="F16" s="39">
        <v>15</v>
      </c>
      <c r="G16" s="40">
        <v>22</v>
      </c>
      <c r="H16" s="40">
        <v>1.53</v>
      </c>
      <c r="I16" s="40">
        <v>13.91</v>
      </c>
      <c r="J16" s="40">
        <v>3.13</v>
      </c>
      <c r="K16" s="40">
        <v>52.51</v>
      </c>
      <c r="L16" s="40">
        <v>21.23</v>
      </c>
      <c r="M16" s="40">
        <v>0.65</v>
      </c>
      <c r="N16" s="40">
        <v>0</v>
      </c>
      <c r="O16" s="40">
        <v>0.08</v>
      </c>
      <c r="P16" s="40">
        <v>0.17</v>
      </c>
      <c r="Q16" s="40">
        <v>6.93</v>
      </c>
      <c r="R16" s="40"/>
      <c r="T16" s="40"/>
      <c r="U16" s="40"/>
      <c r="V16" s="40">
        <v>100.15</v>
      </c>
      <c r="W16" s="14">
        <v>12.862335341591796</v>
      </c>
      <c r="X16" s="14">
        <v>1.2175856510627767</v>
      </c>
      <c r="Y16" s="14">
        <v>46.880584144677961</v>
      </c>
      <c r="Z16" s="14">
        <v>133.96217870428376</v>
      </c>
      <c r="AA16" s="14">
        <v>173.89636554704512</v>
      </c>
      <c r="AB16" s="14">
        <v>20.467396816717518</v>
      </c>
      <c r="AC16" s="14">
        <v>62.482762880549998</v>
      </c>
      <c r="AD16" s="14">
        <v>6.2214161062837228</v>
      </c>
      <c r="AE16" s="14">
        <v>6.8992879007259909</v>
      </c>
      <c r="AF16" s="14">
        <v>7.8549142875398106</v>
      </c>
      <c r="AG16" s="14">
        <v>0.52234779352218541</v>
      </c>
      <c r="AH16" s="14">
        <v>4.1060064025040789E-2</v>
      </c>
      <c r="AI16" s="14">
        <v>0.87120088948295227</v>
      </c>
      <c r="AJ16" s="14">
        <v>2.0675402626375723</v>
      </c>
      <c r="AK16" s="14">
        <v>11.201601052852522</v>
      </c>
      <c r="AL16" s="14">
        <v>3.719521010565674</v>
      </c>
      <c r="AM16" s="14">
        <v>108.17526692921155</v>
      </c>
      <c r="AN16" s="14">
        <v>58.402917786590521</v>
      </c>
      <c r="AO16" s="14">
        <v>0.11906700889470515</v>
      </c>
      <c r="AP16" s="14">
        <v>45.546004348243983</v>
      </c>
      <c r="AQ16" s="14">
        <v>408.90855819229034</v>
      </c>
      <c r="AR16" s="14">
        <v>3763.0431820537519</v>
      </c>
      <c r="AS16" s="14">
        <v>2.2406151940874195</v>
      </c>
      <c r="AT16" s="14">
        <v>60.252670552821243</v>
      </c>
      <c r="AU16" s="14">
        <v>16.68200337361634</v>
      </c>
      <c r="AV16" s="14">
        <v>3.6025873272305193</v>
      </c>
      <c r="AW16" s="14">
        <v>3.606596694537108</v>
      </c>
      <c r="AX16" s="14">
        <v>5.4808164191487379</v>
      </c>
      <c r="AY16" s="15">
        <f t="shared" si="0"/>
        <v>133.70275036176736</v>
      </c>
      <c r="AZ16">
        <f t="shared" si="1"/>
        <v>3.5530485273038126</v>
      </c>
    </row>
    <row r="17" spans="1:52" ht="15" thickBot="1" x14ac:dyDescent="0.4">
      <c r="A17" s="63" t="s">
        <v>60</v>
      </c>
      <c r="B17" s="41"/>
      <c r="C17" s="42" t="s">
        <v>62</v>
      </c>
      <c r="D17" s="42">
        <v>46.74</v>
      </c>
      <c r="E17" s="42">
        <v>14</v>
      </c>
      <c r="F17" s="43">
        <v>16</v>
      </c>
      <c r="G17" s="40">
        <v>23</v>
      </c>
      <c r="H17" s="40">
        <v>0.88</v>
      </c>
      <c r="I17" s="40">
        <v>11.73</v>
      </c>
      <c r="J17" s="40">
        <v>6.34</v>
      </c>
      <c r="K17" s="40">
        <v>46.74</v>
      </c>
      <c r="L17" s="40">
        <v>23.03</v>
      </c>
      <c r="M17" s="40">
        <v>1.95</v>
      </c>
      <c r="N17" s="40">
        <v>0.09</v>
      </c>
      <c r="O17" s="40">
        <v>0</v>
      </c>
      <c r="P17" s="40">
        <v>0.11</v>
      </c>
      <c r="Q17" s="40">
        <v>8.86</v>
      </c>
      <c r="R17" s="40"/>
      <c r="T17" s="40"/>
      <c r="U17" s="40"/>
      <c r="V17" s="40">
        <v>99.73</v>
      </c>
      <c r="W17" s="14">
        <v>7.1019128940480307</v>
      </c>
      <c r="X17" s="14">
        <v>-0.72512733642894756</v>
      </c>
      <c r="Y17" s="14">
        <v>252.37587595119328</v>
      </c>
      <c r="Z17" s="14">
        <v>119.45012919905406</v>
      </c>
      <c r="AA17" s="14">
        <v>27.708105469825679</v>
      </c>
      <c r="AB17" s="14">
        <v>4.7135663566710724</v>
      </c>
      <c r="AC17" s="14">
        <v>9.9961169766993265</v>
      </c>
      <c r="AD17" s="14">
        <v>1.6915624376681226</v>
      </c>
      <c r="AE17" s="14">
        <v>1.7076893923706378</v>
      </c>
      <c r="AF17" s="14">
        <v>6.395133467648324</v>
      </c>
      <c r="AG17" s="14">
        <v>0.10320520571639122</v>
      </c>
      <c r="AH17" s="14">
        <v>1.7778214421155101E-2</v>
      </c>
      <c r="AI17" s="14">
        <v>0.39808056425949873</v>
      </c>
      <c r="AJ17" s="14">
        <v>0.47254372297191005</v>
      </c>
      <c r="AK17" s="14">
        <v>2.5080954092168102</v>
      </c>
      <c r="AL17" s="14">
        <v>1.396560206968142</v>
      </c>
      <c r="AM17" s="14">
        <v>20.110959254668213</v>
      </c>
      <c r="AN17" s="14">
        <v>9.6376252207502269</v>
      </c>
      <c r="AO17" s="14">
        <v>1.5510727889342435</v>
      </c>
      <c r="AP17" s="14">
        <v>9.7677784104296155</v>
      </c>
      <c r="AQ17" s="14">
        <v>105.34145601985976</v>
      </c>
      <c r="AR17" s="14">
        <v>7660.9144144669181</v>
      </c>
      <c r="AS17" s="14">
        <v>3.3362661741034185</v>
      </c>
      <c r="AT17" s="14">
        <v>0.59530807112169248</v>
      </c>
      <c r="AU17" s="14">
        <v>3.5543442213558927</v>
      </c>
      <c r="AV17" s="14">
        <v>1.1960015363102048</v>
      </c>
      <c r="AW17" s="14">
        <v>1.4136162658540903</v>
      </c>
      <c r="AX17" s="14">
        <v>1.4012821948546594</v>
      </c>
      <c r="AY17" s="15">
        <f t="shared" si="0"/>
        <v>4029.3233827796385</v>
      </c>
      <c r="AZ17" s="66">
        <f t="shared" si="1"/>
        <v>52.595854290848614</v>
      </c>
    </row>
    <row r="18" spans="1:52" ht="15" thickBot="1" x14ac:dyDescent="0.4">
      <c r="A18" s="63" t="s">
        <v>63</v>
      </c>
      <c r="B18" s="36" t="s">
        <v>64</v>
      </c>
      <c r="C18" s="44">
        <v>26</v>
      </c>
      <c r="D18" s="44">
        <v>52.38</v>
      </c>
      <c r="E18" s="44">
        <v>6</v>
      </c>
      <c r="F18" s="45">
        <v>17</v>
      </c>
      <c r="G18" s="13">
        <v>26</v>
      </c>
      <c r="H18" s="13">
        <v>0.46</v>
      </c>
      <c r="I18" s="13">
        <v>16.16</v>
      </c>
      <c r="J18" s="13">
        <v>1.77</v>
      </c>
      <c r="K18" s="13">
        <v>52.38</v>
      </c>
      <c r="L18" s="13">
        <v>22.62</v>
      </c>
      <c r="M18" s="13">
        <v>1.1100000000000001</v>
      </c>
      <c r="N18" s="13">
        <v>0</v>
      </c>
      <c r="O18" s="13">
        <v>0.57999999999999996</v>
      </c>
      <c r="P18" s="13">
        <v>0.11</v>
      </c>
      <c r="Q18" s="13">
        <v>4.7</v>
      </c>
      <c r="S18" s="13">
        <v>0</v>
      </c>
      <c r="T18" s="13"/>
      <c r="U18" s="13"/>
      <c r="V18" s="13">
        <v>99.89</v>
      </c>
      <c r="W18" s="14">
        <v>6.30718292036868</v>
      </c>
      <c r="X18" s="14">
        <v>-1.1020452807698753</v>
      </c>
      <c r="Y18" s="14">
        <v>294.4336584253013</v>
      </c>
      <c r="Z18" s="14">
        <v>55.466701109758347</v>
      </c>
      <c r="AA18" s="14">
        <v>39.709310170984828</v>
      </c>
      <c r="AB18" s="14">
        <v>6.9341298638275477</v>
      </c>
      <c r="AC18" s="14">
        <v>15.191091054123827</v>
      </c>
      <c r="AD18" s="14">
        <v>1.7574025178315096</v>
      </c>
      <c r="AE18" s="14">
        <v>1.8065517361255332</v>
      </c>
      <c r="AF18" s="14">
        <v>3.6262258614112945</v>
      </c>
      <c r="AG18" s="14">
        <v>6.0917833049234676E-2</v>
      </c>
      <c r="AH18" s="14">
        <v>1.4975483466768084E-2</v>
      </c>
      <c r="AI18" s="14">
        <v>0.25879344370814578</v>
      </c>
      <c r="AJ18" s="14">
        <v>0.60325197189546453</v>
      </c>
      <c r="AK18" s="14">
        <v>3.4113311493840595</v>
      </c>
      <c r="AL18" s="14">
        <v>2.1309461887516017</v>
      </c>
      <c r="AM18" s="14">
        <v>34.472135998584683</v>
      </c>
      <c r="AN18" s="14">
        <v>12.460419370150426</v>
      </c>
      <c r="AO18" s="14">
        <v>0.71705385622420958</v>
      </c>
      <c r="AP18" s="14">
        <v>11.541345434257648</v>
      </c>
      <c r="AQ18" s="14">
        <v>112.52521778459474</v>
      </c>
      <c r="AR18" s="14">
        <v>7338.416598532498</v>
      </c>
      <c r="AS18" s="14">
        <v>4.50859399013589</v>
      </c>
      <c r="AT18" s="14">
        <v>3.7585306339766444</v>
      </c>
      <c r="AU18" s="14">
        <v>5.4071604430061839</v>
      </c>
      <c r="AV18" s="14">
        <v>0.9928373577809424</v>
      </c>
      <c r="AW18" s="14">
        <v>2.0821296783849679</v>
      </c>
      <c r="AX18" s="14">
        <v>1.3298458157688504</v>
      </c>
      <c r="AY18" s="15">
        <f t="shared" si="0"/>
        <v>-683.97354471522704</v>
      </c>
      <c r="AZ18">
        <f t="shared" si="1"/>
        <v>-9.3204512926126988</v>
      </c>
    </row>
    <row r="19" spans="1:52" ht="15" thickBot="1" x14ac:dyDescent="0.4">
      <c r="A19" s="63" t="s">
        <v>63</v>
      </c>
      <c r="B19" s="37"/>
      <c r="C19" s="20">
        <v>27</v>
      </c>
      <c r="D19" s="20">
        <v>50.59</v>
      </c>
      <c r="E19" s="20">
        <v>6</v>
      </c>
      <c r="F19" s="21">
        <v>18</v>
      </c>
      <c r="G19" s="13">
        <v>27</v>
      </c>
      <c r="H19" s="13">
        <v>0.62</v>
      </c>
      <c r="I19" s="13">
        <v>15.18</v>
      </c>
      <c r="J19" s="13">
        <v>3.13</v>
      </c>
      <c r="K19" s="13">
        <v>50.59</v>
      </c>
      <c r="L19" s="13">
        <v>22.47</v>
      </c>
      <c r="M19" s="13">
        <v>1.42</v>
      </c>
      <c r="N19" s="13">
        <v>0</v>
      </c>
      <c r="O19" s="13">
        <v>1</v>
      </c>
      <c r="P19" s="13">
        <v>0.09</v>
      </c>
      <c r="Q19" s="13">
        <v>5.1100000000000003</v>
      </c>
      <c r="S19" s="13">
        <v>0.16</v>
      </c>
      <c r="T19" s="13"/>
      <c r="U19" s="13"/>
      <c r="V19" s="13">
        <v>99.77</v>
      </c>
      <c r="W19" s="14">
        <v>6.5084042024006772</v>
      </c>
      <c r="X19" s="14">
        <v>-4.0592768880454191</v>
      </c>
      <c r="Y19" s="14">
        <v>339.71506293776633</v>
      </c>
      <c r="Z19" s="14">
        <v>79.420353156334386</v>
      </c>
      <c r="AA19" s="14">
        <v>54.068903011840305</v>
      </c>
      <c r="AB19" s="14">
        <v>8.1364522176641927</v>
      </c>
      <c r="AC19" s="14">
        <v>18.423897750881853</v>
      </c>
      <c r="AD19" s="14">
        <v>2.0283947504218198</v>
      </c>
      <c r="AE19" s="14">
        <v>1.9661829971281841</v>
      </c>
      <c r="AF19" s="14">
        <v>4.6432481934693604</v>
      </c>
      <c r="AG19" s="14">
        <v>0.10807809325319341</v>
      </c>
      <c r="AH19" s="14">
        <v>1.5603484302222059E-2</v>
      </c>
      <c r="AI19" s="14">
        <v>0.3304339259698168</v>
      </c>
      <c r="AJ19" s="14">
        <v>0.651690942660207</v>
      </c>
      <c r="AK19" s="14">
        <v>3.9331987319107502</v>
      </c>
      <c r="AL19" s="14">
        <v>2.3344244080310337</v>
      </c>
      <c r="AM19" s="14">
        <v>44.462729349958536</v>
      </c>
      <c r="AN19" s="14">
        <v>17.955191731832397</v>
      </c>
      <c r="AO19" s="14">
        <v>1.1953086155282699</v>
      </c>
      <c r="AP19" s="14">
        <v>12.259280452713556</v>
      </c>
      <c r="AQ19" s="14">
        <v>151.13381166991221</v>
      </c>
      <c r="AR19" s="14">
        <v>9861.7587146297101</v>
      </c>
      <c r="AS19" s="14">
        <v>2.2385942907952789</v>
      </c>
      <c r="AT19" s="14">
        <v>1.2271486110166461</v>
      </c>
      <c r="AU19" s="14">
        <v>5.7913711974380266</v>
      </c>
      <c r="AV19" s="14">
        <v>1.0594653934126605</v>
      </c>
      <c r="AW19" s="14">
        <v>2.3208862204921332</v>
      </c>
      <c r="AX19" s="14">
        <v>1.5518103817354343</v>
      </c>
      <c r="AY19" s="15">
        <f t="shared" si="0"/>
        <v>-1348.8676007373451</v>
      </c>
      <c r="AZ19">
        <f t="shared" si="1"/>
        <v>-13.677759107372284</v>
      </c>
    </row>
    <row r="20" spans="1:52" ht="15" thickBot="1" x14ac:dyDescent="0.4">
      <c r="A20" s="63" t="s">
        <v>63</v>
      </c>
      <c r="B20" s="41"/>
      <c r="C20" s="23">
        <v>28</v>
      </c>
      <c r="D20" s="23">
        <v>50.13</v>
      </c>
      <c r="E20" s="23">
        <v>6</v>
      </c>
      <c r="F20" s="24">
        <v>19</v>
      </c>
      <c r="G20" s="13">
        <v>28</v>
      </c>
      <c r="H20" s="13">
        <v>0.56000000000000005</v>
      </c>
      <c r="I20" s="13">
        <v>14.95</v>
      </c>
      <c r="J20" s="13">
        <v>3.01</v>
      </c>
      <c r="K20" s="13">
        <v>50.13</v>
      </c>
      <c r="L20" s="13">
        <v>22.91</v>
      </c>
      <c r="M20" s="13">
        <v>1.74</v>
      </c>
      <c r="N20" s="13">
        <v>0</v>
      </c>
      <c r="O20" s="13">
        <v>0.74</v>
      </c>
      <c r="P20" s="13">
        <v>0</v>
      </c>
      <c r="Q20" s="13">
        <v>5.26</v>
      </c>
      <c r="S20" s="13">
        <v>0</v>
      </c>
      <c r="T20" s="13"/>
      <c r="U20" s="13"/>
      <c r="V20" s="13">
        <v>99.29</v>
      </c>
      <c r="W20" s="14">
        <v>6.7027531258746746</v>
      </c>
      <c r="X20" s="14">
        <v>-12.566883238237009</v>
      </c>
      <c r="Y20" s="14">
        <v>362.86527293423563</v>
      </c>
      <c r="Z20" s="14">
        <v>113.02516851761244</v>
      </c>
      <c r="AA20" s="14">
        <v>62.163798825050478</v>
      </c>
      <c r="AB20" s="14">
        <v>9.4431374167848841</v>
      </c>
      <c r="AC20" s="14">
        <v>21.142065552846876</v>
      </c>
      <c r="AD20" s="14">
        <v>2.2035201321985736</v>
      </c>
      <c r="AE20" s="14">
        <v>2.3855797291068086</v>
      </c>
      <c r="AF20" s="14">
        <v>6.5915915285223905</v>
      </c>
      <c r="AG20" s="14">
        <v>0.16347783284127218</v>
      </c>
      <c r="AH20" s="14">
        <v>4.7722690923845908E-2</v>
      </c>
      <c r="AI20" s="14">
        <v>0.36982137769233536</v>
      </c>
      <c r="AJ20" s="14">
        <v>0.67991173385512227</v>
      </c>
      <c r="AK20" s="14">
        <v>4.0216109893401297</v>
      </c>
      <c r="AL20" s="14">
        <v>2.5221470093680236</v>
      </c>
      <c r="AM20" s="14">
        <v>46.230756019238498</v>
      </c>
      <c r="AN20" s="14">
        <v>19.841393840252831</v>
      </c>
      <c r="AO20" s="14">
        <v>1.3485891168863664</v>
      </c>
      <c r="AP20" s="14">
        <v>12.060752737387496</v>
      </c>
      <c r="AQ20" s="14">
        <v>145.26780643440597</v>
      </c>
      <c r="AR20" s="14">
        <v>11641.252943119705</v>
      </c>
      <c r="AS20" s="14">
        <v>3.5736600365559972</v>
      </c>
      <c r="AT20" s="14">
        <v>1.1081095949828419</v>
      </c>
      <c r="AU20" s="14">
        <v>7.6434799954961603</v>
      </c>
      <c r="AV20" s="14">
        <v>1.318355710787704</v>
      </c>
      <c r="AW20" s="14">
        <v>2.5270491784716258</v>
      </c>
      <c r="AX20" s="14">
        <v>1.6846010543361651</v>
      </c>
      <c r="AY20" s="15">
        <f t="shared" si="0"/>
        <v>-1209.9638317304689</v>
      </c>
      <c r="AZ20">
        <f t="shared" si="1"/>
        <v>-10.393759483128406</v>
      </c>
    </row>
    <row r="21" spans="1:52" ht="15" thickBot="1" x14ac:dyDescent="0.4">
      <c r="A21" s="63" t="s">
        <v>65</v>
      </c>
      <c r="B21" s="36" t="s">
        <v>61</v>
      </c>
      <c r="C21" s="26">
        <v>1</v>
      </c>
      <c r="D21" s="26">
        <v>52.14</v>
      </c>
      <c r="E21" s="26">
        <v>7</v>
      </c>
      <c r="F21" s="27">
        <v>20</v>
      </c>
      <c r="G21" s="13">
        <v>1</v>
      </c>
      <c r="H21" s="13">
        <v>0.6</v>
      </c>
      <c r="I21" s="13">
        <v>15.33</v>
      </c>
      <c r="J21" s="13">
        <v>2.42</v>
      </c>
      <c r="K21" s="13">
        <v>52.14</v>
      </c>
      <c r="L21" s="13">
        <v>23.62</v>
      </c>
      <c r="M21" s="13">
        <v>0.61</v>
      </c>
      <c r="N21" s="13">
        <v>0</v>
      </c>
      <c r="O21" s="13">
        <v>0</v>
      </c>
      <c r="P21" s="13">
        <v>7.0000000000000007E-2</v>
      </c>
      <c r="Q21" s="13">
        <v>4.6900000000000004</v>
      </c>
      <c r="S21" s="13">
        <v>0</v>
      </c>
      <c r="T21" s="13"/>
      <c r="U21" s="13"/>
      <c r="V21" s="13">
        <v>99.49</v>
      </c>
      <c r="W21" s="14">
        <v>12.705062044844265</v>
      </c>
      <c r="X21" s="14">
        <v>15.3282173185265</v>
      </c>
      <c r="Y21" s="14">
        <v>3062.9268977311849</v>
      </c>
      <c r="Z21" s="14">
        <v>26.645303294773196</v>
      </c>
      <c r="AA21" s="14">
        <v>7.7443006494161093</v>
      </c>
      <c r="AB21" s="14">
        <v>1.2090445825311691</v>
      </c>
      <c r="AC21" s="14">
        <v>2.739485491038562</v>
      </c>
      <c r="AD21" s="14">
        <v>0.3905483493944602</v>
      </c>
      <c r="AE21" s="14">
        <v>0.43082510647654998</v>
      </c>
      <c r="AF21" s="14">
        <v>1.6583248555991956</v>
      </c>
      <c r="AG21" s="14">
        <v>6.0141686656655792E-2</v>
      </c>
      <c r="AH21" s="14">
        <v>1.3625961666487002E-2</v>
      </c>
      <c r="AI21" s="14">
        <v>0.13759006216382658</v>
      </c>
      <c r="AJ21" s="14">
        <v>0.15550258493781074</v>
      </c>
      <c r="AK21" s="14">
        <v>0.76809475854934506</v>
      </c>
      <c r="AL21" s="14">
        <v>1.0385977145405985</v>
      </c>
      <c r="AM21" s="14">
        <v>5.4607898331129539</v>
      </c>
      <c r="AN21" s="14">
        <v>2.4457923279680984</v>
      </c>
      <c r="AO21" s="14">
        <v>0.58129033037070654</v>
      </c>
      <c r="AP21" s="14">
        <v>6.2368970395810921</v>
      </c>
      <c r="AQ21" s="14">
        <v>48.37177832142077</v>
      </c>
      <c r="AR21" s="14">
        <v>2230.9757784835251</v>
      </c>
      <c r="AS21" s="14">
        <v>2.6772617834270274</v>
      </c>
      <c r="AT21" s="14">
        <v>4.332450606548826</v>
      </c>
      <c r="AU21" s="14">
        <v>1.1601042675429247</v>
      </c>
      <c r="AV21" s="14">
        <v>0.27133911812344519</v>
      </c>
      <c r="AW21" s="14">
        <v>0.39606649692248475</v>
      </c>
      <c r="AX21" s="14">
        <v>0.30921773536995845</v>
      </c>
      <c r="AY21" s="15">
        <f t="shared" si="0"/>
        <v>1425.9704042448852</v>
      </c>
      <c r="AZ21" s="66">
        <f t="shared" si="1"/>
        <v>63.91689313696488</v>
      </c>
    </row>
    <row r="22" spans="1:52" ht="15" thickBot="1" x14ac:dyDescent="0.4">
      <c r="A22" s="63" t="s">
        <v>65</v>
      </c>
      <c r="B22" s="37"/>
      <c r="C22" s="29">
        <v>2</v>
      </c>
      <c r="D22" s="29">
        <v>50.74</v>
      </c>
      <c r="E22" s="29">
        <v>7</v>
      </c>
      <c r="F22" s="30">
        <v>21</v>
      </c>
      <c r="G22" s="13">
        <v>2</v>
      </c>
      <c r="H22" s="13">
        <v>0.76</v>
      </c>
      <c r="I22" s="13">
        <v>14.12</v>
      </c>
      <c r="J22" s="13">
        <v>3.74</v>
      </c>
      <c r="K22" s="13">
        <v>50.74</v>
      </c>
      <c r="L22" s="13">
        <v>23.3</v>
      </c>
      <c r="M22" s="13">
        <v>1</v>
      </c>
      <c r="N22" s="13">
        <v>0</v>
      </c>
      <c r="O22" s="13">
        <v>0</v>
      </c>
      <c r="P22" s="13">
        <v>0.15</v>
      </c>
      <c r="Q22" s="13">
        <v>6.3</v>
      </c>
      <c r="S22" s="13">
        <v>0</v>
      </c>
      <c r="T22" s="13"/>
      <c r="U22" s="13"/>
      <c r="V22" s="13">
        <v>100.1</v>
      </c>
      <c r="W22" s="14">
        <v>7.0583384883181433</v>
      </c>
      <c r="X22" s="14">
        <v>-2.9367244650834508</v>
      </c>
      <c r="Y22" s="14">
        <v>332.58565075723823</v>
      </c>
      <c r="Z22" s="14">
        <v>65.101167528859932</v>
      </c>
      <c r="AA22" s="14">
        <v>21.397476373704269</v>
      </c>
      <c r="AB22" s="14">
        <v>3.5017191877013829</v>
      </c>
      <c r="AC22" s="14">
        <v>7.6558696377120219</v>
      </c>
      <c r="AD22" s="14">
        <v>1.0599502415587194</v>
      </c>
      <c r="AE22" s="14">
        <v>1.1241731511018298</v>
      </c>
      <c r="AF22" s="14">
        <v>3.4638745453499795</v>
      </c>
      <c r="AG22" s="14">
        <v>4.4129074349950205E-2</v>
      </c>
      <c r="AH22" s="14">
        <v>1.5328794997977867E-2</v>
      </c>
      <c r="AI22" s="14">
        <v>0.18068902389893537</v>
      </c>
      <c r="AJ22" s="14">
        <v>0.34182448754425426</v>
      </c>
      <c r="AK22" s="14">
        <v>1.8797600982811347</v>
      </c>
      <c r="AL22" s="14">
        <v>0.99866684191863275</v>
      </c>
      <c r="AM22" s="14">
        <v>16.029407767461727</v>
      </c>
      <c r="AN22" s="14">
        <v>7.1138216066483873</v>
      </c>
      <c r="AO22" s="14">
        <v>0.53741223365060631</v>
      </c>
      <c r="AP22" s="14">
        <v>7.0959397644409492</v>
      </c>
      <c r="AQ22" s="14">
        <v>87.172997561901809</v>
      </c>
      <c r="AR22" s="14">
        <v>4827.8898941919206</v>
      </c>
      <c r="AS22" s="14">
        <v>2.743027627987177</v>
      </c>
      <c r="AT22" s="14">
        <v>1.4298624241321141</v>
      </c>
      <c r="AU22" s="14">
        <v>2.8566220299386287</v>
      </c>
      <c r="AV22" s="14">
        <v>0.71881436592528525</v>
      </c>
      <c r="AW22" s="14">
        <v>0.99051865916714854</v>
      </c>
      <c r="AX22" s="14">
        <v>0.85655133915532589</v>
      </c>
      <c r="AY22" s="15">
        <f t="shared" si="0"/>
        <v>1167.1038479858007</v>
      </c>
      <c r="AZ22" s="66">
        <f t="shared" si="1"/>
        <v>24.174201847267842</v>
      </c>
    </row>
    <row r="23" spans="1:52" ht="15" thickBot="1" x14ac:dyDescent="0.4">
      <c r="A23" s="63" t="s">
        <v>65</v>
      </c>
      <c r="B23" s="37"/>
      <c r="C23" s="29">
        <v>3</v>
      </c>
      <c r="D23" s="29">
        <v>50.26</v>
      </c>
      <c r="E23" s="29">
        <v>7</v>
      </c>
      <c r="F23" s="30">
        <v>22</v>
      </c>
      <c r="G23" s="13">
        <v>3</v>
      </c>
      <c r="H23" s="13">
        <v>0.94</v>
      </c>
      <c r="I23" s="13">
        <v>13.23</v>
      </c>
      <c r="J23" s="13">
        <v>3.9</v>
      </c>
      <c r="K23" s="13">
        <v>50.26</v>
      </c>
      <c r="L23" s="13">
        <v>23.02</v>
      </c>
      <c r="M23" s="13">
        <v>0.98</v>
      </c>
      <c r="N23" s="13">
        <v>0</v>
      </c>
      <c r="O23" s="13">
        <v>0</v>
      </c>
      <c r="P23" s="13">
        <v>0.11</v>
      </c>
      <c r="Q23" s="13">
        <v>7.49</v>
      </c>
      <c r="S23" s="13">
        <v>0</v>
      </c>
      <c r="T23" s="13"/>
      <c r="U23" s="13"/>
      <c r="V23" s="13">
        <v>99.94</v>
      </c>
      <c r="W23" s="14">
        <v>15.875542594720143</v>
      </c>
      <c r="X23" s="14">
        <v>2.7506536761775813</v>
      </c>
      <c r="Y23" s="14">
        <v>605.89052477379141</v>
      </c>
      <c r="Z23" s="14">
        <v>548.00027677216451</v>
      </c>
      <c r="AA23" s="14">
        <v>56.087389256434982</v>
      </c>
      <c r="AB23" s="14">
        <v>8.7854592003764989</v>
      </c>
      <c r="AC23" s="14">
        <v>19.693979196177793</v>
      </c>
      <c r="AD23" s="14">
        <v>4.0844585021841926</v>
      </c>
      <c r="AE23" s="14">
        <v>6.6407777032590243</v>
      </c>
      <c r="AF23" s="14">
        <v>22.030065854474056</v>
      </c>
      <c r="AG23" s="14">
        <v>0.12278482551673391</v>
      </c>
      <c r="AH23" s="14">
        <v>0.11880933139506851</v>
      </c>
      <c r="AI23" s="14">
        <v>0.85603019533500624</v>
      </c>
      <c r="AJ23" s="14">
        <v>1.3564680948683525</v>
      </c>
      <c r="AK23" s="14">
        <v>7.0957313734007483</v>
      </c>
      <c r="AL23" s="14">
        <v>3.0728512362887934</v>
      </c>
      <c r="AM23" s="14">
        <v>44.82481828332029</v>
      </c>
      <c r="AN23" s="14">
        <v>24.121045139195978</v>
      </c>
      <c r="AO23" s="14">
        <v>6.0092954313670566</v>
      </c>
      <c r="AP23" s="14">
        <v>25.391311238656726</v>
      </c>
      <c r="AQ23" s="14">
        <v>95.884930251117794</v>
      </c>
      <c r="AR23" s="14">
        <v>7086.8638496527074</v>
      </c>
      <c r="AS23" s="14">
        <v>5.3339725168740895</v>
      </c>
      <c r="AT23" s="14">
        <v>46.886439537801543</v>
      </c>
      <c r="AU23" s="14">
        <v>7.0427942537133177</v>
      </c>
      <c r="AV23" s="14">
        <v>5.5388131022079889</v>
      </c>
      <c r="AW23" s="14">
        <v>2.8642290619067028</v>
      </c>
      <c r="AX23" s="14">
        <v>3.4963009323777103</v>
      </c>
      <c r="AY23" s="15">
        <f t="shared" si="0"/>
        <v>-1211.7699823185403</v>
      </c>
      <c r="AZ23">
        <f t="shared" si="1"/>
        <v>-17.098818434023158</v>
      </c>
    </row>
    <row r="24" spans="1:52" ht="15" thickBot="1" x14ac:dyDescent="0.4">
      <c r="A24" s="63" t="s">
        <v>65</v>
      </c>
      <c r="B24" s="37"/>
      <c r="C24" s="31">
        <v>32</v>
      </c>
      <c r="D24" s="31">
        <v>51.54</v>
      </c>
      <c r="E24" s="31">
        <v>8</v>
      </c>
      <c r="F24" s="32">
        <v>23</v>
      </c>
      <c r="G24" s="13">
        <v>32</v>
      </c>
      <c r="H24" s="13">
        <v>0.74</v>
      </c>
      <c r="I24" s="13">
        <v>14.39</v>
      </c>
      <c r="J24" s="13">
        <v>2.9</v>
      </c>
      <c r="K24" s="13">
        <v>51.54</v>
      </c>
      <c r="L24" s="13">
        <v>23.32</v>
      </c>
      <c r="M24" s="13">
        <v>0.67</v>
      </c>
      <c r="N24" s="13">
        <v>0</v>
      </c>
      <c r="O24" s="13">
        <v>0</v>
      </c>
      <c r="P24" s="13">
        <v>0.11</v>
      </c>
      <c r="Q24" s="13">
        <v>6.22</v>
      </c>
      <c r="S24" s="13">
        <v>0</v>
      </c>
      <c r="T24" s="13"/>
      <c r="U24" s="13"/>
      <c r="V24" s="13">
        <v>99.9</v>
      </c>
      <c r="W24" s="14">
        <v>7.4934868444714224</v>
      </c>
      <c r="X24" s="14">
        <v>-0.90580377502938103</v>
      </c>
      <c r="Y24" s="14">
        <v>307.62761544100198</v>
      </c>
      <c r="Z24" s="14">
        <v>57.092452787168106</v>
      </c>
      <c r="AA24" s="14">
        <v>19.144642223641277</v>
      </c>
      <c r="AB24" s="14">
        <v>3.2679778413061285</v>
      </c>
      <c r="AC24" s="14">
        <v>6.6257102515926229</v>
      </c>
      <c r="AD24" s="14">
        <v>0.76646834837371713</v>
      </c>
      <c r="AE24" s="14">
        <v>1.0580055688212959</v>
      </c>
      <c r="AF24" s="14">
        <v>3.0174695749708698</v>
      </c>
      <c r="AG24" s="14">
        <v>3.9845953412982735E-2</v>
      </c>
      <c r="AH24" s="14">
        <v>1.7072214177889008E-2</v>
      </c>
      <c r="AI24" s="14">
        <v>0.19212868328347665</v>
      </c>
      <c r="AJ24" s="14">
        <v>0.30053935697814088</v>
      </c>
      <c r="AK24" s="14">
        <v>1.8414512071174902</v>
      </c>
      <c r="AL24" s="14">
        <v>0.93933282245253991</v>
      </c>
      <c r="AM24" s="14">
        <v>14.214985129035833</v>
      </c>
      <c r="AN24" s="14">
        <v>6.7159216480014727</v>
      </c>
      <c r="AO24" s="14">
        <v>0.4444523652257828</v>
      </c>
      <c r="AP24" s="14">
        <v>6.7683802038999268</v>
      </c>
      <c r="AQ24" s="14">
        <v>89.883093615408981</v>
      </c>
      <c r="AR24" s="14">
        <v>4548.9554929596934</v>
      </c>
      <c r="AS24" s="14">
        <v>2.9797048218492939</v>
      </c>
      <c r="AT24" s="14">
        <v>0.5427580452327736</v>
      </c>
      <c r="AU24" s="14">
        <v>2.5078049590670517</v>
      </c>
      <c r="AV24" s="14">
        <v>0.68597574248604787</v>
      </c>
      <c r="AW24" s="14">
        <v>0.92785655618287477</v>
      </c>
      <c r="AX24" s="14">
        <v>0.57593684917503096</v>
      </c>
      <c r="AY24" s="15">
        <f t="shared" si="0"/>
        <v>-532.30968570061896</v>
      </c>
      <c r="AZ24">
        <f t="shared" si="1"/>
        <v>-11.701800259959931</v>
      </c>
    </row>
    <row r="25" spans="1:52" ht="15" thickBot="1" x14ac:dyDescent="0.4">
      <c r="A25" s="63" t="s">
        <v>65</v>
      </c>
      <c r="B25" s="37"/>
      <c r="C25" s="31">
        <v>33</v>
      </c>
      <c r="D25" s="31">
        <v>49.67</v>
      </c>
      <c r="E25" s="31">
        <v>8</v>
      </c>
      <c r="F25" s="32">
        <v>24</v>
      </c>
      <c r="G25" s="13">
        <v>33</v>
      </c>
      <c r="H25" s="13">
        <v>0.91</v>
      </c>
      <c r="I25" s="13">
        <v>13.08</v>
      </c>
      <c r="J25" s="13">
        <v>4.18</v>
      </c>
      <c r="K25" s="13">
        <v>49.67</v>
      </c>
      <c r="L25" s="13">
        <v>23.02</v>
      </c>
      <c r="M25" s="13">
        <v>1.18</v>
      </c>
      <c r="N25" s="13">
        <v>0</v>
      </c>
      <c r="O25" s="13">
        <v>0</v>
      </c>
      <c r="P25" s="13">
        <v>0.14000000000000001</v>
      </c>
      <c r="Q25" s="13">
        <v>7.5</v>
      </c>
      <c r="S25" s="13">
        <v>0</v>
      </c>
      <c r="T25" s="13"/>
      <c r="U25" s="13"/>
      <c r="V25" s="13">
        <v>99.69</v>
      </c>
      <c r="W25" s="14">
        <v>8.9897927386321523</v>
      </c>
      <c r="X25" s="14">
        <v>5.4399398417376982E-2</v>
      </c>
      <c r="Y25" s="14">
        <v>401.44820484782758</v>
      </c>
      <c r="Z25" s="14">
        <v>144.96453145275751</v>
      </c>
      <c r="AA25" s="14">
        <v>31.496488176947462</v>
      </c>
      <c r="AB25" s="14">
        <v>4.9430720823464069</v>
      </c>
      <c r="AC25" s="14">
        <v>11.192928097563971</v>
      </c>
      <c r="AD25" s="14">
        <v>1.6785673909634369</v>
      </c>
      <c r="AE25" s="14">
        <v>1.7664258117323044</v>
      </c>
      <c r="AF25" s="14">
        <v>6.6617719978759196</v>
      </c>
      <c r="AG25" s="14">
        <v>6.0341467718461959E-2</v>
      </c>
      <c r="AH25" s="14">
        <v>1.9904392295679259E-2</v>
      </c>
      <c r="AI25" s="14">
        <v>0.39960610143216402</v>
      </c>
      <c r="AJ25" s="14">
        <v>0.51749754016072613</v>
      </c>
      <c r="AK25" s="14">
        <v>2.6895250724506843</v>
      </c>
      <c r="AL25" s="14">
        <v>1.4689319474191302</v>
      </c>
      <c r="AM25" s="14">
        <v>24.51778018115726</v>
      </c>
      <c r="AN25" s="14">
        <v>11.289136628951237</v>
      </c>
      <c r="AO25" s="14">
        <v>1.1171632349866223</v>
      </c>
      <c r="AP25" s="14">
        <v>10.479246624106981</v>
      </c>
      <c r="AQ25" s="14">
        <v>118.86174800858834</v>
      </c>
      <c r="AR25" s="14">
        <v>6623.8936882866174</v>
      </c>
      <c r="AS25" s="14">
        <v>2.1673039123222351</v>
      </c>
      <c r="AT25" s="14">
        <v>0.76282415081337795</v>
      </c>
      <c r="AU25" s="14">
        <v>3.6964006085546575</v>
      </c>
      <c r="AV25" s="14">
        <v>1.1914324345018692</v>
      </c>
      <c r="AW25" s="14">
        <v>1.4233199969498105</v>
      </c>
      <c r="AX25" s="14">
        <v>1.3862945271772944</v>
      </c>
      <c r="AY25" s="15">
        <f t="shared" si="0"/>
        <v>450.19892748309394</v>
      </c>
      <c r="AZ25">
        <f t="shared" si="1"/>
        <v>6.7965904748623096</v>
      </c>
    </row>
    <row r="26" spans="1:52" ht="15" thickBot="1" x14ac:dyDescent="0.4">
      <c r="A26" s="63" t="s">
        <v>65</v>
      </c>
      <c r="B26" s="41"/>
      <c r="C26" s="34">
        <v>34</v>
      </c>
      <c r="D26" s="34">
        <v>48.93</v>
      </c>
      <c r="E26" s="34">
        <v>8</v>
      </c>
      <c r="F26" s="35">
        <v>25</v>
      </c>
      <c r="G26" s="13">
        <v>34</v>
      </c>
      <c r="H26" s="13">
        <v>4.0999999999999996</v>
      </c>
      <c r="I26" s="13">
        <v>2.4</v>
      </c>
      <c r="J26" s="13">
        <v>0.77</v>
      </c>
      <c r="K26" s="13">
        <v>48.93</v>
      </c>
      <c r="L26" s="13">
        <v>16.010000000000002</v>
      </c>
      <c r="M26" s="13">
        <v>1.2</v>
      </c>
      <c r="N26" s="13">
        <v>0.11</v>
      </c>
      <c r="O26" s="13">
        <v>0</v>
      </c>
      <c r="P26" s="13">
        <v>1.21</v>
      </c>
      <c r="Q26" s="13">
        <v>24.4</v>
      </c>
      <c r="S26" s="13">
        <v>0</v>
      </c>
      <c r="T26" s="13"/>
      <c r="U26" s="13"/>
      <c r="V26" s="13">
        <v>99.12</v>
      </c>
      <c r="W26" s="14">
        <v>21.222630613326093</v>
      </c>
      <c r="X26" s="14">
        <v>24.708323743847181</v>
      </c>
      <c r="Y26" s="14">
        <v>825.72512296552941</v>
      </c>
      <c r="Z26" s="14">
        <v>427.64870423006755</v>
      </c>
      <c r="AA26" s="14">
        <v>27.993395692326303</v>
      </c>
      <c r="AB26" s="14">
        <v>3.4774366947694944</v>
      </c>
      <c r="AC26" s="14">
        <v>9.3960233854653197</v>
      </c>
      <c r="AD26" s="14">
        <v>2.1591252084178194</v>
      </c>
      <c r="AE26" s="14">
        <v>5.1393484268618925</v>
      </c>
      <c r="AF26" s="14">
        <v>8.8740015309000224</v>
      </c>
      <c r="AG26" s="14">
        <v>6.6013210222197929E-2</v>
      </c>
      <c r="AH26" s="14">
        <v>1.6931874186809494E-2</v>
      </c>
      <c r="AI26" s="14">
        <v>0.87897365013168383</v>
      </c>
      <c r="AJ26" s="14">
        <v>0.51742145053804056</v>
      </c>
      <c r="AK26" s="14">
        <v>2.2254273936690625</v>
      </c>
      <c r="AL26" s="14">
        <v>1.2595266663122646</v>
      </c>
      <c r="AM26" s="14">
        <v>18.721907344942217</v>
      </c>
      <c r="AN26" s="14">
        <v>9.848614830698585</v>
      </c>
      <c r="AO26" s="14">
        <v>3.1664251955291021</v>
      </c>
      <c r="AP26" s="14">
        <v>9.9074093030200387</v>
      </c>
      <c r="AQ26" s="14">
        <v>229.36691671636328</v>
      </c>
      <c r="AR26" s="14">
        <v>7236.7130057244749</v>
      </c>
      <c r="AS26" s="14">
        <v>5.2841138866423938</v>
      </c>
      <c r="AT26" s="14">
        <v>10.360854793216497</v>
      </c>
      <c r="AU26" s="14">
        <v>2.9119692989383834</v>
      </c>
      <c r="AV26" s="14">
        <v>4.6467804005303543</v>
      </c>
      <c r="AW26" s="14">
        <v>1.1060259330985596</v>
      </c>
      <c r="AX26" s="14">
        <v>1.9320073659219581</v>
      </c>
      <c r="AY26" s="15">
        <f t="shared" si="0"/>
        <v>-42.720515111208442</v>
      </c>
      <c r="AZ26">
        <f t="shared" si="1"/>
        <v>-0.59033037620001139</v>
      </c>
    </row>
    <row r="27" spans="1:52" ht="15" thickBot="1" x14ac:dyDescent="0.4">
      <c r="A27" s="46" t="s">
        <v>66</v>
      </c>
      <c r="B27" s="36"/>
      <c r="C27" s="9">
        <v>15</v>
      </c>
      <c r="D27" s="9">
        <v>48.23</v>
      </c>
      <c r="E27" s="9">
        <v>9</v>
      </c>
      <c r="F27" s="10">
        <v>26</v>
      </c>
      <c r="G27" s="4" t="s">
        <v>67</v>
      </c>
      <c r="H27" s="4">
        <v>0.31</v>
      </c>
      <c r="I27" s="4">
        <v>13.74</v>
      </c>
      <c r="J27" s="4">
        <v>5.25</v>
      </c>
      <c r="K27" s="4">
        <v>48.23</v>
      </c>
      <c r="L27" s="4">
        <v>23.9</v>
      </c>
      <c r="M27" s="4">
        <v>1.74</v>
      </c>
      <c r="N27" s="4">
        <v>0</v>
      </c>
      <c r="O27" s="4">
        <v>0</v>
      </c>
      <c r="P27" s="4">
        <v>0.12</v>
      </c>
      <c r="Q27" s="4">
        <v>6.42</v>
      </c>
      <c r="R27" s="4">
        <v>0</v>
      </c>
      <c r="S27" s="4">
        <v>0</v>
      </c>
      <c r="T27" s="4">
        <v>0</v>
      </c>
      <c r="U27" s="4">
        <v>0.04</v>
      </c>
      <c r="V27" s="4">
        <v>99.76</v>
      </c>
      <c r="W27" s="14">
        <v>7.5235500806950144</v>
      </c>
      <c r="X27" s="14">
        <v>2.9768857049581534</v>
      </c>
      <c r="Y27" s="14">
        <v>377.44943859302992</v>
      </c>
      <c r="Z27" s="14">
        <v>337.51136948417962</v>
      </c>
      <c r="AA27" s="14">
        <v>87.038141588727001</v>
      </c>
      <c r="AB27" s="14">
        <v>11.644579554084338</v>
      </c>
      <c r="AC27" s="14">
        <v>27.459542419624395</v>
      </c>
      <c r="AD27" s="14">
        <v>2.6368784037343245</v>
      </c>
      <c r="AE27" s="14">
        <v>2.8269717189258663</v>
      </c>
      <c r="AF27" s="14">
        <v>12.741094899092667</v>
      </c>
      <c r="AG27" s="14">
        <v>0.4049064004386082</v>
      </c>
      <c r="AH27" s="14">
        <v>3.8472176790436803E-2</v>
      </c>
      <c r="AI27" s="14">
        <v>0.76228134890411636</v>
      </c>
      <c r="AJ27" s="14">
        <v>0.88881473873645156</v>
      </c>
      <c r="AK27" s="14">
        <v>5.0755493175669395</v>
      </c>
      <c r="AL27" s="14">
        <v>3.2627447225282342</v>
      </c>
      <c r="AM27" s="14">
        <v>62.214693570513454</v>
      </c>
      <c r="AN27" s="14">
        <v>29.681002104198793</v>
      </c>
      <c r="AO27" s="14">
        <v>3.3262543633422954</v>
      </c>
      <c r="AP27" s="14">
        <v>16.17539006176305</v>
      </c>
      <c r="AQ27" s="14">
        <v>93.841521244166415</v>
      </c>
      <c r="AR27" s="14">
        <v>11371.639407978353</v>
      </c>
      <c r="AS27" s="14">
        <v>1.9227198544562372</v>
      </c>
      <c r="AT27" s="14">
        <v>3.1696707909459731</v>
      </c>
      <c r="AU27" s="14">
        <v>9.2965506932231854</v>
      </c>
      <c r="AV27" s="14">
        <v>1.5201141787151506</v>
      </c>
      <c r="AW27" s="14">
        <v>3.220806089910083</v>
      </c>
      <c r="AX27" s="14">
        <v>1.9754992187195695</v>
      </c>
      <c r="AY27" s="15">
        <f t="shared" si="0"/>
        <v>-940.35029658911662</v>
      </c>
      <c r="AZ27">
        <f t="shared" si="1"/>
        <v>-8.2692588364116251</v>
      </c>
    </row>
    <row r="28" spans="1:52" ht="15" thickBot="1" x14ac:dyDescent="0.4">
      <c r="A28" s="46" t="s">
        <v>66</v>
      </c>
      <c r="B28" s="37"/>
      <c r="C28" s="18">
        <v>16</v>
      </c>
      <c r="D28" s="18">
        <v>46.7</v>
      </c>
      <c r="E28" s="18">
        <v>9</v>
      </c>
      <c r="F28" s="19">
        <v>27</v>
      </c>
      <c r="G28" s="4" t="s">
        <v>68</v>
      </c>
      <c r="H28" s="4">
        <v>0.35</v>
      </c>
      <c r="I28" s="4">
        <v>13.21</v>
      </c>
      <c r="J28" s="4">
        <v>6.27</v>
      </c>
      <c r="K28" s="4">
        <v>46.7</v>
      </c>
      <c r="L28" s="4">
        <v>23.69</v>
      </c>
      <c r="M28" s="4">
        <v>2.0099999999999998</v>
      </c>
      <c r="N28" s="4">
        <v>0</v>
      </c>
      <c r="O28" s="4">
        <v>0</v>
      </c>
      <c r="P28" s="4">
        <v>0.08</v>
      </c>
      <c r="Q28" s="4">
        <v>7.1</v>
      </c>
      <c r="R28" s="4">
        <v>0</v>
      </c>
      <c r="S28" s="4">
        <v>0</v>
      </c>
      <c r="T28" s="4">
        <v>0</v>
      </c>
      <c r="U28" s="4">
        <v>0</v>
      </c>
      <c r="V28" s="4">
        <v>99.42</v>
      </c>
      <c r="W28" s="14">
        <v>32.199566827242961</v>
      </c>
      <c r="X28" s="14">
        <v>20.117438433612882</v>
      </c>
      <c r="Y28" s="14">
        <v>330.02361916910854</v>
      </c>
      <c r="Z28" s="14">
        <v>467.57369609550227</v>
      </c>
      <c r="AA28" s="14">
        <v>88.157593323918988</v>
      </c>
      <c r="AB28" s="14">
        <v>12.202150974510005</v>
      </c>
      <c r="AC28" s="14">
        <v>28.724458492958224</v>
      </c>
      <c r="AD28" s="14">
        <v>3.1503176589720532</v>
      </c>
      <c r="AE28" s="14">
        <v>3.6499581983378451</v>
      </c>
      <c r="AF28" s="14">
        <v>20.804061691006066</v>
      </c>
      <c r="AG28" s="14">
        <v>0.59083536263524372</v>
      </c>
      <c r="AH28" s="14">
        <v>3.8074727814193923E-2</v>
      </c>
      <c r="AI28" s="14">
        <v>1.1105614789457834</v>
      </c>
      <c r="AJ28" s="14">
        <v>1.0227886531061086</v>
      </c>
      <c r="AK28" s="14">
        <v>5.9219666792110379</v>
      </c>
      <c r="AL28" s="14">
        <v>3.8667573217180675</v>
      </c>
      <c r="AM28" s="14">
        <v>62.911902112554529</v>
      </c>
      <c r="AN28" s="14">
        <v>31.983857872236985</v>
      </c>
      <c r="AO28" s="14">
        <v>4.7331936735962019</v>
      </c>
      <c r="AP28" s="14">
        <v>19.700243672258615</v>
      </c>
      <c r="AQ28" s="14">
        <v>119.49173538900912</v>
      </c>
      <c r="AR28" s="14">
        <v>13182.517108720542</v>
      </c>
      <c r="AS28" s="14">
        <v>8.5500294610210119</v>
      </c>
      <c r="AT28" s="14">
        <v>14.485102388152644</v>
      </c>
      <c r="AU28" s="14">
        <v>9.154389660636129</v>
      </c>
      <c r="AV28" s="14">
        <v>2.3061174963344548</v>
      </c>
      <c r="AW28" s="14">
        <v>3.613981269864234</v>
      </c>
      <c r="AX28" s="14">
        <v>2.4082015798919478</v>
      </c>
      <c r="AY28" s="15">
        <f t="shared" si="0"/>
        <v>-1132.5796869433234</v>
      </c>
      <c r="AZ28">
        <f t="shared" si="1"/>
        <v>-8.5915282916196301</v>
      </c>
    </row>
    <row r="29" spans="1:52" ht="15" thickBot="1" x14ac:dyDescent="0.4">
      <c r="A29" s="46" t="s">
        <v>66</v>
      </c>
      <c r="B29" s="37"/>
      <c r="C29" s="18">
        <v>17</v>
      </c>
      <c r="D29" s="18">
        <v>48.73</v>
      </c>
      <c r="E29" s="18">
        <v>9</v>
      </c>
      <c r="F29" s="19">
        <v>28</v>
      </c>
      <c r="G29" s="4" t="s">
        <v>69</v>
      </c>
      <c r="H29" s="4">
        <v>0.33</v>
      </c>
      <c r="I29" s="4">
        <v>14.11</v>
      </c>
      <c r="J29" s="4">
        <v>4.95</v>
      </c>
      <c r="K29" s="4">
        <v>48.73</v>
      </c>
      <c r="L29" s="4">
        <v>23.87</v>
      </c>
      <c r="M29" s="4">
        <v>1.48</v>
      </c>
      <c r="N29" s="4">
        <v>0</v>
      </c>
      <c r="O29" s="4">
        <v>0.23</v>
      </c>
      <c r="P29" s="4">
        <v>0</v>
      </c>
      <c r="Q29" s="4">
        <v>5.57</v>
      </c>
      <c r="R29" s="4">
        <v>0</v>
      </c>
      <c r="S29" s="4">
        <v>0</v>
      </c>
      <c r="T29" s="4">
        <v>0.08</v>
      </c>
      <c r="U29" s="4">
        <v>0</v>
      </c>
      <c r="V29" s="4">
        <v>99.34</v>
      </c>
      <c r="W29" s="14">
        <v>10.573452844666376</v>
      </c>
      <c r="X29" s="14">
        <v>6.4177783359793787</v>
      </c>
      <c r="Y29" s="14">
        <v>706.32937966606755</v>
      </c>
      <c r="Z29" s="14">
        <v>197.28811135885465</v>
      </c>
      <c r="AA29" s="14">
        <v>60.351819004390848</v>
      </c>
      <c r="AB29" s="14">
        <v>8.924389514047288</v>
      </c>
      <c r="AC29" s="14">
        <v>18.563768394879297</v>
      </c>
      <c r="AD29" s="14">
        <v>1.8942138964119839</v>
      </c>
      <c r="AE29" s="14">
        <v>1.6621713291904232</v>
      </c>
      <c r="AF29" s="14">
        <v>10.553017372310663</v>
      </c>
      <c r="AG29" s="14">
        <v>0.29633510328687862</v>
      </c>
      <c r="AH29" s="14">
        <v>3.7115202432959501E-2</v>
      </c>
      <c r="AI29" s="14">
        <v>0.56317287537704031</v>
      </c>
      <c r="AJ29" s="14">
        <v>0.63068521597939964</v>
      </c>
      <c r="AK29" s="14">
        <v>3.6407866155691808</v>
      </c>
      <c r="AL29" s="14">
        <v>2.8727565754565783</v>
      </c>
      <c r="AM29" s="14">
        <v>48.340403002793956</v>
      </c>
      <c r="AN29" s="14">
        <v>23.81914489359129</v>
      </c>
      <c r="AO29" s="14">
        <v>2.0893839855757288</v>
      </c>
      <c r="AP29" s="14">
        <v>11.858794986525352</v>
      </c>
      <c r="AQ29" s="14">
        <v>86.554132819415997</v>
      </c>
      <c r="AR29" s="14">
        <v>10115.118341497406</v>
      </c>
      <c r="AS29" s="14">
        <v>5.0702472229129727</v>
      </c>
      <c r="AT29" s="14">
        <v>5.0628157359586545</v>
      </c>
      <c r="AU29" s="14">
        <v>6.707038533803023</v>
      </c>
      <c r="AV29" s="14">
        <v>0.7475382525124652</v>
      </c>
      <c r="AW29" s="14">
        <v>2.6466568010145766</v>
      </c>
      <c r="AX29" s="14">
        <v>1.3507338888596985</v>
      </c>
      <c r="AY29" s="15">
        <f t="shared" si="0"/>
        <v>-1242.5276030743771</v>
      </c>
      <c r="AZ29">
        <f t="shared" si="1"/>
        <v>-12.283866200327992</v>
      </c>
    </row>
    <row r="30" spans="1:52" ht="15" thickBot="1" x14ac:dyDescent="0.4">
      <c r="A30" s="46" t="s">
        <v>66</v>
      </c>
      <c r="B30" s="37"/>
      <c r="C30" s="18">
        <v>18</v>
      </c>
      <c r="D30" s="18">
        <v>40.96</v>
      </c>
      <c r="E30" s="18">
        <v>9</v>
      </c>
      <c r="F30" s="19">
        <v>29</v>
      </c>
      <c r="G30" s="4" t="s">
        <v>70</v>
      </c>
      <c r="H30" s="4">
        <v>0.43</v>
      </c>
      <c r="I30" s="4">
        <v>10.56</v>
      </c>
      <c r="J30" s="4">
        <v>11.01</v>
      </c>
      <c r="K30" s="4">
        <v>40.96</v>
      </c>
      <c r="L30" s="4">
        <v>23.48</v>
      </c>
      <c r="M30" s="4">
        <v>4.08</v>
      </c>
      <c r="N30" s="4">
        <v>0</v>
      </c>
      <c r="O30" s="4">
        <v>0</v>
      </c>
      <c r="P30" s="4">
        <v>0.09</v>
      </c>
      <c r="Q30" s="4">
        <v>8.86</v>
      </c>
      <c r="R30" s="4">
        <v>0</v>
      </c>
      <c r="S30" s="4">
        <v>0</v>
      </c>
      <c r="T30" s="4">
        <v>0</v>
      </c>
      <c r="U30" s="4">
        <v>0</v>
      </c>
      <c r="V30" s="4">
        <v>99.48</v>
      </c>
      <c r="W30" s="14">
        <v>50.028925534248344</v>
      </c>
      <c r="X30" s="14">
        <v>36.725905455823657</v>
      </c>
      <c r="Y30" s="14">
        <v>838.17873284912105</v>
      </c>
      <c r="Z30" s="14">
        <v>477.80882795201614</v>
      </c>
      <c r="AA30" s="14">
        <v>158.94877361297608</v>
      </c>
      <c r="AB30" s="14">
        <v>16.860864293575286</v>
      </c>
      <c r="AC30" s="14">
        <v>44.38307642173767</v>
      </c>
      <c r="AD30" s="14">
        <v>3.1519036860466003</v>
      </c>
      <c r="AE30" s="14">
        <v>3.2080527384281159</v>
      </c>
      <c r="AF30" s="14">
        <v>14.428306798934937</v>
      </c>
      <c r="AG30" s="14">
        <v>1.252575217857957</v>
      </c>
      <c r="AH30" s="14">
        <v>0.40634529349859805</v>
      </c>
      <c r="AI30" s="14">
        <v>3.1759661033749582</v>
      </c>
      <c r="AJ30" s="14">
        <v>1.0361555292606355</v>
      </c>
      <c r="AK30" s="14">
        <v>5.9035811675190928</v>
      </c>
      <c r="AL30" s="14">
        <v>5.0264496218064014</v>
      </c>
      <c r="AM30" s="14">
        <v>92.713616038799287</v>
      </c>
      <c r="AN30" s="14">
        <v>58.383361704826356</v>
      </c>
      <c r="AO30" s="14">
        <v>39.864034331112052</v>
      </c>
      <c r="AP30" s="14">
        <v>18.427475319983177</v>
      </c>
      <c r="AQ30" s="14">
        <v>195.39739831542971</v>
      </c>
      <c r="AR30" s="14">
        <v>21140.272210693362</v>
      </c>
      <c r="AS30" s="14">
        <v>14.696925348639079</v>
      </c>
      <c r="AT30" s="14">
        <v>23.40430291276693</v>
      </c>
      <c r="AU30" s="14">
        <v>11.545998689015589</v>
      </c>
      <c r="AV30" s="14">
        <v>1.4715470554152359</v>
      </c>
      <c r="AW30" s="14">
        <v>4.0954616017367247</v>
      </c>
      <c r="AX30" s="14">
        <v>2.3109176158509004</v>
      </c>
      <c r="AY30" s="15">
        <f t="shared" si="0"/>
        <v>3319.3022573917406</v>
      </c>
      <c r="AZ30">
        <f t="shared" si="1"/>
        <v>15.701322217188581</v>
      </c>
    </row>
    <row r="31" spans="1:52" ht="15" thickBot="1" x14ac:dyDescent="0.4">
      <c r="A31" s="46" t="s">
        <v>66</v>
      </c>
      <c r="B31" s="37"/>
      <c r="C31" s="18">
        <v>19</v>
      </c>
      <c r="D31" s="18">
        <v>46.5</v>
      </c>
      <c r="E31" s="18">
        <v>9</v>
      </c>
      <c r="F31" s="19">
        <v>30</v>
      </c>
      <c r="G31" s="4" t="s">
        <v>71</v>
      </c>
      <c r="H31" s="4">
        <v>0.35</v>
      </c>
      <c r="I31" s="4">
        <v>13.12</v>
      </c>
      <c r="J31" s="4">
        <v>5.84</v>
      </c>
      <c r="K31" s="4">
        <v>46.5</v>
      </c>
      <c r="L31" s="4">
        <v>23.65</v>
      </c>
      <c r="M31" s="4">
        <v>1.88</v>
      </c>
      <c r="N31" s="4">
        <v>0</v>
      </c>
      <c r="O31" s="4">
        <v>0</v>
      </c>
      <c r="P31" s="4">
        <v>0</v>
      </c>
      <c r="Q31" s="4">
        <v>6.84</v>
      </c>
      <c r="R31" s="4">
        <v>0</v>
      </c>
      <c r="S31" s="4">
        <v>0</v>
      </c>
      <c r="T31" s="4">
        <v>0</v>
      </c>
      <c r="U31" s="4">
        <v>0.04</v>
      </c>
      <c r="V31" s="4">
        <v>98.22</v>
      </c>
      <c r="W31" s="14">
        <v>7.6819367992866319</v>
      </c>
      <c r="X31" s="14">
        <v>2.6021280180957622</v>
      </c>
      <c r="Y31" s="14">
        <v>310.94164293743671</v>
      </c>
      <c r="Z31" s="14">
        <v>362.70814953789386</v>
      </c>
      <c r="AA31" s="14">
        <v>82.998929288587533</v>
      </c>
      <c r="AB31" s="14">
        <v>11.361401033937</v>
      </c>
      <c r="AC31" s="14">
        <v>25.800870413880325</v>
      </c>
      <c r="AD31" s="14">
        <v>2.6655703330254252</v>
      </c>
      <c r="AE31" s="14">
        <v>2.9192551830288727</v>
      </c>
      <c r="AF31" s="14">
        <v>15.343353268670032</v>
      </c>
      <c r="AG31" s="14">
        <v>0.35099257008664608</v>
      </c>
      <c r="AH31" s="14">
        <v>2.6439635336188871E-2</v>
      </c>
      <c r="AI31" s="14">
        <v>0.75744866138620637</v>
      </c>
      <c r="AJ31" s="14">
        <v>0.92472523563774311</v>
      </c>
      <c r="AK31" s="14">
        <v>5.2216056192351967</v>
      </c>
      <c r="AL31" s="14">
        <v>3.2334534530779</v>
      </c>
      <c r="AM31" s="14">
        <v>60.087634776119373</v>
      </c>
      <c r="AN31" s="14">
        <v>29.219119886081899</v>
      </c>
      <c r="AO31" s="14">
        <v>2.8214032555709156</v>
      </c>
      <c r="AP31" s="14">
        <v>17.733037022169185</v>
      </c>
      <c r="AQ31" s="14">
        <v>91.783929651975626</v>
      </c>
      <c r="AR31" s="14">
        <v>11793.81515427679</v>
      </c>
      <c r="AS31" s="14">
        <v>2.7207670160451776</v>
      </c>
      <c r="AT31" s="14">
        <v>3.6271116126802525</v>
      </c>
      <c r="AU31" s="14">
        <v>7.7030114044131679</v>
      </c>
      <c r="AV31" s="14">
        <v>1.785711393409573</v>
      </c>
      <c r="AW31" s="14">
        <v>3.1724974105143806</v>
      </c>
      <c r="AX31" s="14">
        <v>2.0141111351554914</v>
      </c>
      <c r="AY31" s="15">
        <f t="shared" si="0"/>
        <v>-523.22691898267476</v>
      </c>
      <c r="AZ31">
        <f t="shared" si="1"/>
        <v>-4.4364517515177182</v>
      </c>
    </row>
    <row r="32" spans="1:52" ht="15" thickBot="1" x14ac:dyDescent="0.4">
      <c r="A32" s="46" t="s">
        <v>66</v>
      </c>
      <c r="B32" s="41"/>
      <c r="C32" s="47">
        <v>20</v>
      </c>
      <c r="D32" s="47">
        <v>42.37</v>
      </c>
      <c r="E32" s="47">
        <v>9</v>
      </c>
      <c r="F32" s="48">
        <v>31</v>
      </c>
      <c r="G32" s="4" t="s">
        <v>72</v>
      </c>
      <c r="H32" s="4">
        <v>0.46</v>
      </c>
      <c r="I32" s="4">
        <v>11.21</v>
      </c>
      <c r="J32" s="4">
        <v>9.86</v>
      </c>
      <c r="K32" s="4">
        <v>42.37</v>
      </c>
      <c r="L32" s="4">
        <v>23.42</v>
      </c>
      <c r="M32" s="4">
        <v>3.48</v>
      </c>
      <c r="N32" s="4">
        <v>0</v>
      </c>
      <c r="O32" s="4">
        <v>0</v>
      </c>
      <c r="P32" s="4">
        <v>0.1</v>
      </c>
      <c r="Q32" s="4">
        <v>8.1300000000000008</v>
      </c>
      <c r="R32" s="4">
        <v>0</v>
      </c>
      <c r="S32" s="4">
        <v>0</v>
      </c>
      <c r="T32" s="4">
        <v>0</v>
      </c>
      <c r="U32" s="4">
        <v>0</v>
      </c>
      <c r="V32" s="4">
        <v>99.05</v>
      </c>
      <c r="W32" s="14">
        <v>8.9360601009694509</v>
      </c>
      <c r="X32" s="14">
        <v>-2.4672576855807971</v>
      </c>
      <c r="Y32" s="14">
        <v>462.95165480624138</v>
      </c>
      <c r="Z32" s="14">
        <v>516.22220855490013</v>
      </c>
      <c r="AA32" s="14">
        <v>141.17460316982817</v>
      </c>
      <c r="AB32" s="14">
        <v>15.063814738718063</v>
      </c>
      <c r="AC32" s="14">
        <v>39.577329319129461</v>
      </c>
      <c r="AD32" s="14">
        <v>3.0092150257114767</v>
      </c>
      <c r="AE32" s="14">
        <v>3.2288317492500647</v>
      </c>
      <c r="AF32" s="14">
        <v>18.557156047683442</v>
      </c>
      <c r="AG32" s="14">
        <v>0.76666058238018187</v>
      </c>
      <c r="AH32" s="14">
        <v>5.6445294279875775E-2</v>
      </c>
      <c r="AI32" s="14">
        <v>2.5918959843746046</v>
      </c>
      <c r="AJ32" s="14">
        <v>1.0320522187411842</v>
      </c>
      <c r="AK32" s="14">
        <v>6.0454411392492329</v>
      </c>
      <c r="AL32" s="14">
        <v>4.1668679576809557</v>
      </c>
      <c r="AM32" s="14">
        <v>93.410451541774194</v>
      </c>
      <c r="AN32" s="14">
        <v>51.357644337829896</v>
      </c>
      <c r="AO32" s="14">
        <v>14.696686181096942</v>
      </c>
      <c r="AP32" s="14">
        <v>18.436504503467415</v>
      </c>
      <c r="AQ32" s="14">
        <v>138.02691276019439</v>
      </c>
      <c r="AR32" s="14">
        <v>22478.631064209938</v>
      </c>
      <c r="AS32" s="14">
        <v>4.488264400784491</v>
      </c>
      <c r="AT32" s="14">
        <v>3.6047479073220225</v>
      </c>
      <c r="AU32" s="14">
        <v>11.241085022500618</v>
      </c>
      <c r="AV32" s="14">
        <v>1.5861665877587701</v>
      </c>
      <c r="AW32" s="14">
        <v>4.0853188024044131</v>
      </c>
      <c r="AX32" s="14">
        <v>2.1703117373315428</v>
      </c>
      <c r="AY32" s="15">
        <f t="shared" si="0"/>
        <v>-1616.0528414314649</v>
      </c>
      <c r="AZ32">
        <f t="shared" si="1"/>
        <v>-7.1892849560777492</v>
      </c>
    </row>
    <row r="33" spans="1:52" ht="15" thickBot="1" x14ac:dyDescent="0.4">
      <c r="A33" s="46" t="s">
        <v>73</v>
      </c>
      <c r="B33" s="36"/>
      <c r="C33" s="44">
        <v>7</v>
      </c>
      <c r="D33" s="44">
        <v>50.34</v>
      </c>
      <c r="E33" s="44">
        <v>10</v>
      </c>
      <c r="F33" s="45">
        <v>32</v>
      </c>
      <c r="G33" s="4" t="s">
        <v>74</v>
      </c>
      <c r="H33" s="4">
        <v>2.0499999999999998</v>
      </c>
      <c r="I33" s="4">
        <v>9.9600000000000009</v>
      </c>
      <c r="J33" s="4">
        <v>2.66</v>
      </c>
      <c r="K33" s="4">
        <v>50.34</v>
      </c>
      <c r="L33" s="4">
        <v>21.02</v>
      </c>
      <c r="M33" s="4">
        <v>0.79</v>
      </c>
      <c r="N33" s="4">
        <v>0</v>
      </c>
      <c r="O33" s="4">
        <v>0</v>
      </c>
      <c r="P33" s="4">
        <v>0.37</v>
      </c>
      <c r="Q33" s="4">
        <v>11.97</v>
      </c>
      <c r="R33" s="4">
        <v>0</v>
      </c>
      <c r="V33" s="4">
        <v>99.17</v>
      </c>
      <c r="W33" s="14">
        <v>20.883263950707743</v>
      </c>
      <c r="X33" s="14">
        <v>1.3240762549539316</v>
      </c>
      <c r="Y33" s="14">
        <v>502.71203022019569</v>
      </c>
      <c r="Z33" s="14">
        <v>456.42458763301653</v>
      </c>
      <c r="AA33" s="14">
        <v>94.315467886913112</v>
      </c>
      <c r="AB33" s="14">
        <v>5.8255799937651318</v>
      </c>
      <c r="AC33" s="14">
        <v>21.754036468334728</v>
      </c>
      <c r="AD33" s="14">
        <v>1.8438907670589688</v>
      </c>
      <c r="AE33" s="14">
        <v>3.121767133828806</v>
      </c>
      <c r="AF33" s="14">
        <v>13.067940791982227</v>
      </c>
      <c r="AG33" s="14">
        <v>8.0455376675990342E-2</v>
      </c>
      <c r="AH33" s="14">
        <v>7.5093249148856109E-2</v>
      </c>
      <c r="AI33" s="14">
        <v>0.63034661349629451</v>
      </c>
      <c r="AJ33" s="14">
        <v>0.52405681248603653</v>
      </c>
      <c r="AK33" s="14">
        <v>2.9883656784434862</v>
      </c>
      <c r="AL33" s="14">
        <v>2.041263940854221</v>
      </c>
      <c r="AM33" s="14">
        <v>37.968641424539499</v>
      </c>
      <c r="AN33" s="14">
        <v>47.034739926164974</v>
      </c>
      <c r="AO33" s="14">
        <v>3.4430801118086674</v>
      </c>
      <c r="AP33" s="14">
        <v>12.018838829776936</v>
      </c>
      <c r="AQ33" s="14">
        <v>115.71726952920109</v>
      </c>
      <c r="AR33" s="14">
        <v>4939.320671769754</v>
      </c>
      <c r="AS33" s="14">
        <v>6.0104634991607835</v>
      </c>
      <c r="AT33" s="14">
        <v>2.7164822600438221</v>
      </c>
      <c r="AU33" s="14">
        <v>5.1138705135639988</v>
      </c>
      <c r="AV33" s="14">
        <v>2.3162785975987723</v>
      </c>
      <c r="AW33" s="14">
        <v>1.8441947752667114</v>
      </c>
      <c r="AX33" s="14">
        <v>1.4651930114581595</v>
      </c>
      <c r="AY33" s="15">
        <f t="shared" si="0"/>
        <v>-203.27561544935361</v>
      </c>
      <c r="AZ33">
        <f t="shared" si="1"/>
        <v>-4.1154569415012316</v>
      </c>
    </row>
    <row r="34" spans="1:52" ht="15" thickBot="1" x14ac:dyDescent="0.4">
      <c r="A34" s="46" t="s">
        <v>73</v>
      </c>
      <c r="B34" s="37"/>
      <c r="C34" s="20">
        <v>8</v>
      </c>
      <c r="D34" s="20">
        <v>49.05</v>
      </c>
      <c r="E34" s="20">
        <v>10</v>
      </c>
      <c r="F34" s="21">
        <v>33</v>
      </c>
      <c r="G34" s="4" t="s">
        <v>75</v>
      </c>
      <c r="H34" s="4">
        <v>2.02</v>
      </c>
      <c r="I34" s="4">
        <v>8.0500000000000007</v>
      </c>
      <c r="J34" s="4">
        <v>2.89</v>
      </c>
      <c r="K34" s="4">
        <v>49.05</v>
      </c>
      <c r="L34" s="4">
        <v>20.5</v>
      </c>
      <c r="M34" s="4">
        <v>0.9</v>
      </c>
      <c r="N34" s="4">
        <v>0</v>
      </c>
      <c r="O34" s="4">
        <v>0</v>
      </c>
      <c r="P34" s="4">
        <v>0.4</v>
      </c>
      <c r="Q34" s="4">
        <v>15.03</v>
      </c>
      <c r="R34" s="4">
        <v>0</v>
      </c>
      <c r="V34" s="4">
        <v>98.84</v>
      </c>
      <c r="W34" s="14">
        <v>18.272635311706107</v>
      </c>
      <c r="X34" s="14">
        <v>-10.207058730611669</v>
      </c>
      <c r="Y34" s="14">
        <v>659.78042767111208</v>
      </c>
      <c r="Z34" s="14">
        <v>411.14231602505777</v>
      </c>
      <c r="AA34" s="14">
        <v>53.753892499671196</v>
      </c>
      <c r="AB34" s="14">
        <v>4.667924054400828</v>
      </c>
      <c r="AC34" s="14">
        <v>15.349666134183932</v>
      </c>
      <c r="AD34" s="14">
        <v>1.4833920874526028</v>
      </c>
      <c r="AE34" s="14">
        <v>2.5650999080503243</v>
      </c>
      <c r="AF34" s="14">
        <v>9.1951859196609789</v>
      </c>
      <c r="AG34" s="14">
        <v>0.10595008515518316</v>
      </c>
      <c r="AH34" s="14">
        <v>1.7319738471928758E-2</v>
      </c>
      <c r="AI34" s="14">
        <v>0.65763799324486172</v>
      </c>
      <c r="AJ34" s="14">
        <v>0.39575580418731987</v>
      </c>
      <c r="AK34" s="14">
        <v>2.3374654800518693</v>
      </c>
      <c r="AL34" s="14">
        <v>1.4575081223698938</v>
      </c>
      <c r="AM34" s="14">
        <v>29.525404951017116</v>
      </c>
      <c r="AN34" s="14">
        <v>18.704475590778745</v>
      </c>
      <c r="AO34" s="14">
        <v>5.798351957179352</v>
      </c>
      <c r="AP34" s="14">
        <v>7.8830957867906815</v>
      </c>
      <c r="AQ34" s="14">
        <v>148.73099310929885</v>
      </c>
      <c r="AR34" s="14">
        <v>6231.7240532431751</v>
      </c>
      <c r="AS34" s="14">
        <v>3.0930204274774566</v>
      </c>
      <c r="AT34" s="14">
        <v>2.0085265393461089</v>
      </c>
      <c r="AU34" s="14">
        <v>4.0394271050372303</v>
      </c>
      <c r="AV34" s="14">
        <v>1.9201825780594577</v>
      </c>
      <c r="AW34" s="14">
        <v>1.4252995150097914</v>
      </c>
      <c r="AX34" s="14">
        <v>1.190712737835061</v>
      </c>
      <c r="AY34" s="15">
        <f t="shared" si="0"/>
        <v>-836.22968528322599</v>
      </c>
      <c r="AZ34">
        <f t="shared" si="1"/>
        <v>-13.418913901491308</v>
      </c>
    </row>
    <row r="35" spans="1:52" ht="15" thickBot="1" x14ac:dyDescent="0.4">
      <c r="A35" s="46" t="s">
        <v>73</v>
      </c>
      <c r="B35" s="37"/>
      <c r="C35" s="20">
        <v>9</v>
      </c>
      <c r="D35" s="20">
        <v>50.13</v>
      </c>
      <c r="E35" s="20">
        <v>10</v>
      </c>
      <c r="F35" s="21">
        <v>34</v>
      </c>
      <c r="G35" s="4" t="s">
        <v>76</v>
      </c>
      <c r="H35" s="4">
        <v>3.31</v>
      </c>
      <c r="I35" s="4">
        <v>6.72</v>
      </c>
      <c r="J35" s="4">
        <v>2.1</v>
      </c>
      <c r="K35" s="4">
        <v>50.13</v>
      </c>
      <c r="L35" s="4">
        <v>18.2</v>
      </c>
      <c r="M35" s="4">
        <v>0.66</v>
      </c>
      <c r="N35" s="4">
        <v>0</v>
      </c>
      <c r="O35" s="4">
        <v>0</v>
      </c>
      <c r="P35" s="4">
        <v>0.37</v>
      </c>
      <c r="Q35" s="4">
        <v>17.600000000000001</v>
      </c>
      <c r="R35" s="4">
        <v>0</v>
      </c>
      <c r="V35" s="4">
        <v>99.09</v>
      </c>
      <c r="W35" s="14">
        <v>23.515536522671347</v>
      </c>
      <c r="X35" s="14">
        <v>-3.3432181183169165</v>
      </c>
      <c r="Y35" s="14">
        <v>616.03739607761804</v>
      </c>
      <c r="Z35" s="14">
        <v>704.01086429435395</v>
      </c>
      <c r="AA35" s="14">
        <v>41.730370854787765</v>
      </c>
      <c r="AB35" s="14">
        <v>3.9374019127131761</v>
      </c>
      <c r="AC35" s="14">
        <v>12.068658721572371</v>
      </c>
      <c r="AD35" s="14">
        <v>1.4683491275884644</v>
      </c>
      <c r="AE35" s="14">
        <v>3.412439013114752</v>
      </c>
      <c r="AF35" s="14">
        <v>15.225419538042408</v>
      </c>
      <c r="AG35" s="14">
        <v>5.8151577538161518E-2</v>
      </c>
      <c r="AH35" s="14">
        <v>1.9262079415390473E-2</v>
      </c>
      <c r="AI35" s="14">
        <v>0.30990595364955881</v>
      </c>
      <c r="AJ35" s="14">
        <v>0.3780935971451363</v>
      </c>
      <c r="AK35" s="14">
        <v>1.8395066500585817</v>
      </c>
      <c r="AL35" s="14">
        <v>1.1230754461157466</v>
      </c>
      <c r="AM35" s="14">
        <v>23.802069132174452</v>
      </c>
      <c r="AN35" s="14">
        <v>15.550823404919997</v>
      </c>
      <c r="AO35" s="14">
        <v>3.6059842606845844</v>
      </c>
      <c r="AP35" s="14">
        <v>7.3817645974289903</v>
      </c>
      <c r="AQ35" s="14">
        <v>194.33998968200015</v>
      </c>
      <c r="AR35" s="14">
        <v>3764.5495693501089</v>
      </c>
      <c r="AS35" s="14">
        <v>2.1823674231366881</v>
      </c>
      <c r="AT35" s="14">
        <v>1.7185211484131726</v>
      </c>
      <c r="AU35" s="14">
        <v>2.2256659464020272</v>
      </c>
      <c r="AV35" s="14">
        <v>2.9776284640628039</v>
      </c>
      <c r="AW35" s="14">
        <v>1.1016827613815026</v>
      </c>
      <c r="AX35" s="14">
        <v>1.2421231374085826</v>
      </c>
      <c r="AY35" s="15">
        <f t="shared" si="0"/>
        <v>192.14630048718755</v>
      </c>
      <c r="AZ35">
        <f t="shared" si="1"/>
        <v>5.104098032114865</v>
      </c>
    </row>
    <row r="36" spans="1:52" ht="15" thickBot="1" x14ac:dyDescent="0.4">
      <c r="A36" s="46" t="s">
        <v>73</v>
      </c>
      <c r="B36" s="41"/>
      <c r="C36" s="23">
        <v>10</v>
      </c>
      <c r="D36" s="23">
        <v>50.86</v>
      </c>
      <c r="E36" s="23">
        <v>10</v>
      </c>
      <c r="F36" s="24">
        <v>35</v>
      </c>
      <c r="G36" s="4" t="s">
        <v>77</v>
      </c>
      <c r="H36" s="4">
        <v>3.45</v>
      </c>
      <c r="I36" s="4">
        <v>7.05</v>
      </c>
      <c r="J36" s="4">
        <v>1.69</v>
      </c>
      <c r="K36" s="4">
        <v>50.86</v>
      </c>
      <c r="L36" s="4">
        <v>17.87</v>
      </c>
      <c r="M36" s="4">
        <v>0.46</v>
      </c>
      <c r="N36" s="4">
        <v>0</v>
      </c>
      <c r="O36" s="4">
        <v>0</v>
      </c>
      <c r="P36" s="4">
        <v>0.39</v>
      </c>
      <c r="Q36" s="4">
        <v>17.05</v>
      </c>
      <c r="R36" s="4">
        <v>0</v>
      </c>
      <c r="V36" s="4">
        <v>98.82</v>
      </c>
      <c r="W36" s="14">
        <v>19.377520950709005</v>
      </c>
      <c r="X36" s="14">
        <v>-4.2445351769895137</v>
      </c>
      <c r="Y36" s="14">
        <v>596.14310360617935</v>
      </c>
      <c r="Z36" s="14">
        <v>547.90755457772889</v>
      </c>
      <c r="AA36" s="14">
        <v>45.756575948931278</v>
      </c>
      <c r="AB36" s="14">
        <v>3.839440355115221</v>
      </c>
      <c r="AC36" s="14">
        <v>11.976843229549937</v>
      </c>
      <c r="AD36" s="14">
        <v>1.3290055515423591</v>
      </c>
      <c r="AE36" s="14">
        <v>3.0554732068045412</v>
      </c>
      <c r="AF36" s="14">
        <v>11.354868385174138</v>
      </c>
      <c r="AG36" s="14">
        <v>0.16536054260980787</v>
      </c>
      <c r="AH36" s="14">
        <v>4.1864035642854562E-2</v>
      </c>
      <c r="AI36" s="14">
        <v>0.22082839060626611</v>
      </c>
      <c r="AJ36" s="14">
        <v>0.35577439608021089</v>
      </c>
      <c r="AK36" s="14">
        <v>1.7720908232496222</v>
      </c>
      <c r="AL36" s="14">
        <v>1.121453065195855</v>
      </c>
      <c r="AM36" s="14">
        <v>23.995388079094408</v>
      </c>
      <c r="AN36" s="14">
        <v>17.155692316911765</v>
      </c>
      <c r="AO36" s="14">
        <v>2.0922742459814283</v>
      </c>
      <c r="AP36" s="14">
        <v>6.9192400699282084</v>
      </c>
      <c r="AQ36" s="14">
        <v>159.44525937478244</v>
      </c>
      <c r="AR36" s="14">
        <v>3796.7711526603252</v>
      </c>
      <c r="AS36" s="14">
        <v>3.406482623391224</v>
      </c>
      <c r="AT36" s="14">
        <v>2.2539260247287105</v>
      </c>
      <c r="AU36" s="14">
        <v>2.1285190972538386</v>
      </c>
      <c r="AV36" s="14">
        <v>2.6697955045219968</v>
      </c>
      <c r="AW36" s="14">
        <v>1.0791512501242049</v>
      </c>
      <c r="AX36" s="14">
        <v>1.1074063138388794</v>
      </c>
      <c r="AY36" s="15">
        <f t="shared" si="0"/>
        <v>-1039.0740312585731</v>
      </c>
      <c r="AZ36" s="66">
        <f t="shared" si="1"/>
        <v>-27.367307364061531</v>
      </c>
    </row>
    <row r="37" spans="1:52" ht="15" thickBot="1" x14ac:dyDescent="0.4">
      <c r="A37" s="46" t="s">
        <v>78</v>
      </c>
      <c r="B37" s="36"/>
      <c r="C37" s="26">
        <v>81</v>
      </c>
      <c r="D37" s="26">
        <v>49.02</v>
      </c>
      <c r="E37" s="26">
        <v>11</v>
      </c>
      <c r="F37" s="27">
        <v>36</v>
      </c>
      <c r="G37" s="4" t="s">
        <v>79</v>
      </c>
      <c r="H37" s="4">
        <v>0.59</v>
      </c>
      <c r="I37" s="4">
        <v>14.05</v>
      </c>
      <c r="J37" s="4">
        <v>4.87</v>
      </c>
      <c r="K37" s="4">
        <v>49.02</v>
      </c>
      <c r="L37" s="4">
        <v>22.67</v>
      </c>
      <c r="M37" s="4">
        <v>1.1599999999999999</v>
      </c>
      <c r="N37" s="4">
        <v>0</v>
      </c>
      <c r="O37" s="4">
        <v>0.53</v>
      </c>
      <c r="P37" s="4">
        <v>0.13</v>
      </c>
      <c r="Q37" s="4">
        <v>5.5</v>
      </c>
      <c r="S37" s="4">
        <v>0</v>
      </c>
      <c r="T37" s="4">
        <v>0</v>
      </c>
      <c r="U37" s="4">
        <v>0</v>
      </c>
      <c r="V37" s="4">
        <v>98.51</v>
      </c>
      <c r="W37" s="14">
        <v>7.1422627979303366</v>
      </c>
      <c r="X37" s="14">
        <v>-1.018032613983769</v>
      </c>
      <c r="Y37" s="14">
        <v>183.67501116210221</v>
      </c>
      <c r="Z37" s="14">
        <v>53.535678878440166</v>
      </c>
      <c r="AA37" s="14">
        <v>19.233535826514711</v>
      </c>
      <c r="AB37" s="14">
        <v>3.4358919569585851</v>
      </c>
      <c r="AC37" s="14">
        <v>7.1063067909886017</v>
      </c>
      <c r="AD37" s="14">
        <v>0.92347153991163944</v>
      </c>
      <c r="AE37" s="14">
        <v>0.81115283099765667</v>
      </c>
      <c r="AF37" s="14">
        <v>3.6861204904477853</v>
      </c>
      <c r="AG37" s="14">
        <v>5.0841981908010613E-2</v>
      </c>
      <c r="AH37" s="14">
        <v>2.903971241816123E-2</v>
      </c>
      <c r="AI37" s="14">
        <v>0.18664386214993556</v>
      </c>
      <c r="AJ37" s="14">
        <v>0.27480630133363959</v>
      </c>
      <c r="AK37" s="14">
        <v>1.6035319896715812</v>
      </c>
      <c r="AL37" s="14">
        <v>1.0263693818552058</v>
      </c>
      <c r="AM37" s="14">
        <v>15.783765580749169</v>
      </c>
      <c r="AN37" s="14">
        <v>6.4501394980354814</v>
      </c>
      <c r="AO37" s="14">
        <v>0.85759706575368899</v>
      </c>
      <c r="AP37" s="14">
        <v>5.4936706239823767</v>
      </c>
      <c r="AQ37" s="14">
        <v>114.96509434968979</v>
      </c>
      <c r="AR37" s="14">
        <v>8266.9388599017275</v>
      </c>
      <c r="AS37" s="14">
        <v>2.2150068069056883</v>
      </c>
      <c r="AT37" s="14">
        <v>2.43014069533419</v>
      </c>
      <c r="AU37" s="14">
        <v>2.3185333028942154</v>
      </c>
      <c r="AV37" s="14">
        <v>0.46119172220337995</v>
      </c>
      <c r="AW37" s="14">
        <v>1.006313099160862</v>
      </c>
      <c r="AX37" s="14">
        <v>0.71682931470047695</v>
      </c>
      <c r="AY37" s="15">
        <f t="shared" si="0"/>
        <v>-1312.7461189755713</v>
      </c>
      <c r="AZ37">
        <f t="shared" si="1"/>
        <v>-15.879470517714418</v>
      </c>
    </row>
    <row r="38" spans="1:52" ht="15" thickBot="1" x14ac:dyDescent="0.4">
      <c r="A38" s="46" t="s">
        <v>78</v>
      </c>
      <c r="B38" s="37"/>
      <c r="C38" s="29">
        <v>82</v>
      </c>
      <c r="D38" s="29">
        <v>49.86</v>
      </c>
      <c r="E38" s="29">
        <v>11</v>
      </c>
      <c r="F38" s="30">
        <v>37</v>
      </c>
      <c r="G38" s="4" t="s">
        <v>80</v>
      </c>
      <c r="H38" s="4">
        <v>0.67</v>
      </c>
      <c r="I38" s="4">
        <v>14.6</v>
      </c>
      <c r="J38" s="4">
        <v>4.08</v>
      </c>
      <c r="K38" s="4">
        <v>49.86</v>
      </c>
      <c r="L38" s="4">
        <v>22.52</v>
      </c>
      <c r="M38" s="4">
        <v>0.98</v>
      </c>
      <c r="N38" s="4">
        <v>0</v>
      </c>
      <c r="O38" s="4">
        <v>0.47</v>
      </c>
      <c r="P38" s="4">
        <v>7.0000000000000007E-2</v>
      </c>
      <c r="Q38" s="4">
        <v>5.09</v>
      </c>
      <c r="S38" s="4">
        <v>0</v>
      </c>
      <c r="T38" s="4">
        <v>0</v>
      </c>
      <c r="U38" s="4">
        <v>0</v>
      </c>
      <c r="V38" s="4">
        <v>98.32</v>
      </c>
      <c r="W38" s="14">
        <v>6.2729263377095927</v>
      </c>
      <c r="X38" s="14">
        <v>-0.58620785936638986</v>
      </c>
      <c r="Y38" s="14">
        <v>168.39744871715828</v>
      </c>
      <c r="Z38" s="14">
        <v>41.276405644885443</v>
      </c>
      <c r="AA38" s="14">
        <v>15.665802308914717</v>
      </c>
      <c r="AB38" s="14">
        <v>2.854686351996861</v>
      </c>
      <c r="AC38" s="14">
        <v>6.0077011420459607</v>
      </c>
      <c r="AD38" s="14">
        <v>0.73837496684229886</v>
      </c>
      <c r="AE38" s="14">
        <v>0.70417752765207475</v>
      </c>
      <c r="AF38" s="14">
        <v>2.9874213320289709</v>
      </c>
      <c r="AG38" s="14">
        <v>2.8112388190971841E-2</v>
      </c>
      <c r="AH38" s="14">
        <v>2.2893356571151737E-2</v>
      </c>
      <c r="AI38" s="14">
        <v>0.1441195653254454</v>
      </c>
      <c r="AJ38" s="14">
        <v>0.24880545579025057</v>
      </c>
      <c r="AK38" s="14">
        <v>1.4201889738617246</v>
      </c>
      <c r="AL38" s="14">
        <v>0.84825376099682304</v>
      </c>
      <c r="AM38" s="14">
        <v>13.844917991702793</v>
      </c>
      <c r="AN38" s="14">
        <v>5.1649386265099162</v>
      </c>
      <c r="AO38" s="14">
        <v>0.57771341528338049</v>
      </c>
      <c r="AP38" s="14">
        <v>4.9781526925502027</v>
      </c>
      <c r="AQ38" s="14">
        <v>108.01392674719915</v>
      </c>
      <c r="AR38" s="14">
        <v>6911.2498628939684</v>
      </c>
      <c r="AS38" s="14">
        <v>2.6151610715440436</v>
      </c>
      <c r="AT38" s="14">
        <v>2.2736970567973294</v>
      </c>
      <c r="AU38" s="14">
        <v>2.2269162772398343</v>
      </c>
      <c r="AV38" s="14">
        <v>0.3717308201753165</v>
      </c>
      <c r="AW38" s="14">
        <v>0.81412441923433088</v>
      </c>
      <c r="AX38" s="14">
        <v>0.57119789071200477</v>
      </c>
      <c r="AY38" s="15">
        <f t="shared" si="0"/>
        <v>-1036.1559955598013</v>
      </c>
      <c r="AZ38">
        <f t="shared" si="1"/>
        <v>-14.992309873252486</v>
      </c>
    </row>
    <row r="39" spans="1:52" ht="15" thickBot="1" x14ac:dyDescent="0.4">
      <c r="A39" s="46" t="s">
        <v>78</v>
      </c>
      <c r="B39" s="37"/>
      <c r="C39" s="29">
        <v>83</v>
      </c>
      <c r="D39" s="29">
        <v>45.87</v>
      </c>
      <c r="E39" s="29">
        <v>11</v>
      </c>
      <c r="F39" s="30">
        <v>38</v>
      </c>
      <c r="G39" s="4" t="s">
        <v>81</v>
      </c>
      <c r="H39" s="4">
        <v>0.51</v>
      </c>
      <c r="I39" s="4">
        <v>12.83</v>
      </c>
      <c r="J39" s="4">
        <v>6.9</v>
      </c>
      <c r="K39" s="4">
        <v>45.87</v>
      </c>
      <c r="L39" s="4">
        <v>22.83</v>
      </c>
      <c r="M39" s="4">
        <v>2.2200000000000002</v>
      </c>
      <c r="N39" s="4">
        <v>0</v>
      </c>
      <c r="O39" s="4">
        <v>0</v>
      </c>
      <c r="P39" s="4">
        <v>0.08</v>
      </c>
      <c r="Q39" s="4">
        <v>6.45</v>
      </c>
      <c r="S39" s="4">
        <v>0</v>
      </c>
      <c r="T39" s="4">
        <v>0</v>
      </c>
      <c r="U39" s="4">
        <v>0</v>
      </c>
      <c r="V39" s="4">
        <v>97.69</v>
      </c>
      <c r="W39" s="14">
        <v>7.2438261184312278</v>
      </c>
      <c r="X39" s="14">
        <v>0.28047607082771309</v>
      </c>
      <c r="Y39" s="14">
        <v>198.0057946781013</v>
      </c>
      <c r="Z39" s="14">
        <v>138.08688829418796</v>
      </c>
      <c r="AA39" s="14">
        <v>30.697465194485847</v>
      </c>
      <c r="AB39" s="14">
        <v>5.6717211346716789</v>
      </c>
      <c r="AC39" s="14">
        <v>11.364787936254869</v>
      </c>
      <c r="AD39" s="14">
        <v>1.3105752941321971</v>
      </c>
      <c r="AE39" s="14">
        <v>1.3785318611690163</v>
      </c>
      <c r="AF39" s="14">
        <v>8.7421884669431158</v>
      </c>
      <c r="AG39" s="14">
        <v>8.4399643060057206E-2</v>
      </c>
      <c r="AH39" s="14">
        <v>3.1449558367125686E-2</v>
      </c>
      <c r="AI39" s="14">
        <v>0.32436050060837263</v>
      </c>
      <c r="AJ39" s="14">
        <v>0.46111702886275086</v>
      </c>
      <c r="AK39" s="14">
        <v>2.6740846239146703</v>
      </c>
      <c r="AL39" s="14">
        <v>1.7629359533842328</v>
      </c>
      <c r="AM39" s="14">
        <v>28.393710639608816</v>
      </c>
      <c r="AN39" s="14">
        <v>9.8743493263277919</v>
      </c>
      <c r="AO39" s="14">
        <v>1.1133830189797802</v>
      </c>
      <c r="AP39" s="14">
        <v>8.3576863797409953</v>
      </c>
      <c r="AQ39" s="14">
        <v>132.0212535069119</v>
      </c>
      <c r="AR39" s="14">
        <v>13777.589393581151</v>
      </c>
      <c r="AS39" s="14">
        <v>2.2478568787612194</v>
      </c>
      <c r="AT39" s="14">
        <v>1.3737703738949887</v>
      </c>
      <c r="AU39" s="14">
        <v>3.6482193811909971</v>
      </c>
      <c r="AV39" s="14">
        <v>0.80115845064559488</v>
      </c>
      <c r="AW39" s="14">
        <v>1.724157761777352</v>
      </c>
      <c r="AX39" s="14">
        <v>0.95652664187290992</v>
      </c>
      <c r="AY39" s="15">
        <f t="shared" si="0"/>
        <v>-468.70328594660896</v>
      </c>
      <c r="AZ39">
        <f t="shared" si="1"/>
        <v>-3.4019252030037519</v>
      </c>
    </row>
    <row r="40" spans="1:52" ht="15" thickBot="1" x14ac:dyDescent="0.4">
      <c r="A40" s="46" t="s">
        <v>78</v>
      </c>
      <c r="B40" s="37"/>
      <c r="C40" s="29">
        <v>84</v>
      </c>
      <c r="D40" s="29">
        <v>43.31</v>
      </c>
      <c r="E40" s="29">
        <v>11</v>
      </c>
      <c r="F40" s="30">
        <v>39</v>
      </c>
      <c r="G40" s="4" t="s">
        <v>82</v>
      </c>
      <c r="H40" s="4">
        <v>0.55000000000000004</v>
      </c>
      <c r="I40" s="4">
        <v>11.73</v>
      </c>
      <c r="J40" s="4">
        <v>9.33</v>
      </c>
      <c r="K40" s="4">
        <v>43.31</v>
      </c>
      <c r="L40" s="4">
        <v>23.48</v>
      </c>
      <c r="M40" s="4">
        <v>4.3099999999999996</v>
      </c>
      <c r="N40" s="4">
        <v>0</v>
      </c>
      <c r="O40" s="4">
        <v>0</v>
      </c>
      <c r="P40" s="4">
        <v>0</v>
      </c>
      <c r="Q40" s="4">
        <v>7.09</v>
      </c>
      <c r="S40" s="4">
        <v>0</v>
      </c>
      <c r="T40" s="4">
        <v>0</v>
      </c>
      <c r="U40" s="4">
        <v>0</v>
      </c>
      <c r="V40" s="4">
        <v>99.8</v>
      </c>
      <c r="W40" s="14">
        <v>7.1731310985142489</v>
      </c>
      <c r="X40" s="14">
        <v>0.78145580678897042</v>
      </c>
      <c r="Y40" s="14">
        <v>392.28566621823609</v>
      </c>
      <c r="Z40" s="14">
        <v>584.1168002561302</v>
      </c>
      <c r="AA40" s="14">
        <v>110.08298338413472</v>
      </c>
      <c r="AB40" s="14">
        <v>16.069074822110998</v>
      </c>
      <c r="AC40" s="14">
        <v>35.87040661583282</v>
      </c>
      <c r="AD40" s="14">
        <v>3.2731721143062313</v>
      </c>
      <c r="AE40" s="14">
        <v>3.4678600825400645</v>
      </c>
      <c r="AF40" s="14">
        <v>25.701861911883348</v>
      </c>
      <c r="AG40" s="14">
        <v>0.38605476471207112</v>
      </c>
      <c r="AH40" s="14">
        <v>3.6967742824243435E-2</v>
      </c>
      <c r="AI40" s="14">
        <v>1.5289264060046663</v>
      </c>
      <c r="AJ40" s="14">
        <v>1.1242045363534128</v>
      </c>
      <c r="AK40" s="14">
        <v>6.6414492220177923</v>
      </c>
      <c r="AL40" s="14">
        <v>4.2093518579207529</v>
      </c>
      <c r="AM40" s="14">
        <v>81.308319220254887</v>
      </c>
      <c r="AN40" s="14">
        <v>35.307469862095544</v>
      </c>
      <c r="AO40" s="14">
        <v>6.833509169092256</v>
      </c>
      <c r="AP40" s="14">
        <v>21.602805122495912</v>
      </c>
      <c r="AQ40" s="14">
        <v>197.45518935259807</v>
      </c>
      <c r="AR40" s="14">
        <v>25574.901275474727</v>
      </c>
      <c r="AS40" s="14">
        <v>2.0694589870559938</v>
      </c>
      <c r="AT40" s="14">
        <v>0.58772486489526554</v>
      </c>
      <c r="AU40" s="14">
        <v>11.181615242107771</v>
      </c>
      <c r="AV40" s="14">
        <v>1.8154294607627555</v>
      </c>
      <c r="AW40" s="14">
        <v>4.1105585817676067</v>
      </c>
      <c r="AX40" s="14">
        <v>2.4290859418161754</v>
      </c>
      <c r="AY40" s="15">
        <f t="shared" si="0"/>
        <v>263.52175331125181</v>
      </c>
      <c r="AZ40">
        <f t="shared" si="1"/>
        <v>1.0303920647543545</v>
      </c>
    </row>
    <row r="41" spans="1:52" ht="15" thickBot="1" x14ac:dyDescent="0.4">
      <c r="A41" s="46" t="s">
        <v>78</v>
      </c>
      <c r="B41" s="37"/>
      <c r="C41" s="29">
        <v>85</v>
      </c>
      <c r="D41" s="29">
        <v>44.52</v>
      </c>
      <c r="E41" s="29">
        <v>11</v>
      </c>
      <c r="F41" s="30">
        <v>40</v>
      </c>
      <c r="G41" s="4" t="s">
        <v>83</v>
      </c>
      <c r="H41" s="4">
        <v>0.56999999999999995</v>
      </c>
      <c r="I41" s="4">
        <v>12.18</v>
      </c>
      <c r="J41" s="4">
        <v>8.51</v>
      </c>
      <c r="K41" s="4">
        <v>44.52</v>
      </c>
      <c r="L41" s="4">
        <v>23.65</v>
      </c>
      <c r="M41" s="4">
        <v>3.78</v>
      </c>
      <c r="N41" s="4">
        <v>0</v>
      </c>
      <c r="O41" s="4">
        <v>0</v>
      </c>
      <c r="P41" s="4">
        <v>0.09</v>
      </c>
      <c r="Q41" s="4">
        <v>6.78</v>
      </c>
      <c r="S41" s="4">
        <v>0</v>
      </c>
      <c r="T41" s="4">
        <v>0</v>
      </c>
      <c r="U41" s="4">
        <v>0</v>
      </c>
      <c r="V41" s="4">
        <v>100.07</v>
      </c>
      <c r="W41" s="14">
        <v>8.0978417825315852</v>
      </c>
      <c r="X41" s="14">
        <v>1.5729005963195197</v>
      </c>
      <c r="Y41" s="14">
        <v>456.51291952997451</v>
      </c>
      <c r="Z41" s="14">
        <v>580.6680620255238</v>
      </c>
      <c r="AA41" s="14">
        <v>122.95488973835484</v>
      </c>
      <c r="AB41" s="14">
        <v>17.156522629904796</v>
      </c>
      <c r="AC41" s="14">
        <v>41.174852169284598</v>
      </c>
      <c r="AD41" s="14">
        <v>3.565454014070391</v>
      </c>
      <c r="AE41" s="14">
        <v>3.6913500331635589</v>
      </c>
      <c r="AF41" s="14">
        <v>24.32218794558209</v>
      </c>
      <c r="AG41" s="14">
        <v>0.43047245983985705</v>
      </c>
      <c r="AH41" s="14">
        <v>1.7269584343667932E-2</v>
      </c>
      <c r="AI41" s="14">
        <v>1.3454618862051575</v>
      </c>
      <c r="AJ41" s="14">
        <v>1.2456289750136205</v>
      </c>
      <c r="AK41" s="14">
        <v>6.9869092105447796</v>
      </c>
      <c r="AL41" s="14">
        <v>4.7521792809104753</v>
      </c>
      <c r="AM41" s="14">
        <v>91.241151030836164</v>
      </c>
      <c r="AN41" s="14">
        <v>39.600913228752098</v>
      </c>
      <c r="AO41" s="14">
        <v>6.3750233904323403</v>
      </c>
      <c r="AP41" s="14">
        <v>22.266582077141859</v>
      </c>
      <c r="AQ41" s="14">
        <v>219.85863338501753</v>
      </c>
      <c r="AR41" s="14">
        <v>26112.123027062418</v>
      </c>
      <c r="AS41" s="14">
        <v>3.0857568292336452</v>
      </c>
      <c r="AT41" s="14">
        <v>0.49155451692209939</v>
      </c>
      <c r="AU41" s="14">
        <v>12.640723147434228</v>
      </c>
      <c r="AV41" s="14">
        <v>1.709331646684406</v>
      </c>
      <c r="AW41" s="14">
        <v>4.6849098946939947</v>
      </c>
      <c r="AX41" s="14">
        <v>2.6034271793202182</v>
      </c>
      <c r="AY41" s="15">
        <f t="shared" si="0"/>
        <v>-3451.0466816306325</v>
      </c>
      <c r="AZ41">
        <f t="shared" si="1"/>
        <v>-13.21626233935093</v>
      </c>
    </row>
    <row r="42" spans="1:52" ht="15" thickBot="1" x14ac:dyDescent="0.4">
      <c r="A42" s="46" t="s">
        <v>78</v>
      </c>
      <c r="B42" s="41"/>
      <c r="C42" s="49">
        <v>86</v>
      </c>
      <c r="D42" s="49">
        <v>42.03</v>
      </c>
      <c r="E42" s="49">
        <v>11</v>
      </c>
      <c r="F42" s="50">
        <v>41</v>
      </c>
      <c r="G42" s="4" t="s">
        <v>84</v>
      </c>
      <c r="H42" s="4">
        <v>0.76</v>
      </c>
      <c r="I42" s="4">
        <v>10.92</v>
      </c>
      <c r="J42" s="4">
        <v>10.5</v>
      </c>
      <c r="K42" s="4">
        <v>42.03</v>
      </c>
      <c r="L42" s="4">
        <v>23.04</v>
      </c>
      <c r="M42" s="4">
        <v>4.99</v>
      </c>
      <c r="N42" s="4">
        <v>0</v>
      </c>
      <c r="O42" s="4">
        <v>0</v>
      </c>
      <c r="P42" s="4">
        <v>0.1</v>
      </c>
      <c r="Q42" s="4">
        <v>7.82</v>
      </c>
      <c r="S42" s="4">
        <v>0</v>
      </c>
      <c r="T42" s="4">
        <v>0</v>
      </c>
      <c r="U42" s="4">
        <v>0.04</v>
      </c>
      <c r="V42" s="4">
        <v>100.21</v>
      </c>
      <c r="W42" s="14">
        <v>8.8471911854000655</v>
      </c>
      <c r="X42" s="14">
        <v>-10.63173861032965</v>
      </c>
      <c r="Y42" s="14">
        <v>503.08759605460619</v>
      </c>
      <c r="Z42" s="14">
        <v>801.65799962390599</v>
      </c>
      <c r="AA42" s="14">
        <v>171.61225858265999</v>
      </c>
      <c r="AB42" s="14">
        <v>22.444765856515733</v>
      </c>
      <c r="AC42" s="14">
        <v>59.038307056433759</v>
      </c>
      <c r="AD42" s="14">
        <v>4.6199313447965693</v>
      </c>
      <c r="AE42" s="14">
        <v>5.1791986055840393</v>
      </c>
      <c r="AF42" s="14">
        <v>26.125814383268327</v>
      </c>
      <c r="AG42" s="14">
        <v>0.99363864550240577</v>
      </c>
      <c r="AH42" s="14">
        <v>6.4716059532579501E-2</v>
      </c>
      <c r="AI42" s="14">
        <v>3.6971123487721345</v>
      </c>
      <c r="AJ42" s="14">
        <v>1.5980249623528218</v>
      </c>
      <c r="AK42" s="14">
        <v>9.2536599384706637</v>
      </c>
      <c r="AL42" s="14">
        <v>5.9179720128417665</v>
      </c>
      <c r="AM42" s="14">
        <v>123.8217681668806</v>
      </c>
      <c r="AN42" s="14">
        <v>58.743785341887502</v>
      </c>
      <c r="AO42" s="14">
        <v>22.349591820974098</v>
      </c>
      <c r="AP42" s="14">
        <v>28.883717233740033</v>
      </c>
      <c r="AQ42" s="14">
        <v>272.76129557251187</v>
      </c>
      <c r="AR42" s="14">
        <v>32633.57725574166</v>
      </c>
      <c r="AS42" s="14">
        <v>2.4384842650769927</v>
      </c>
      <c r="AT42" s="14">
        <v>1.087339631410752</v>
      </c>
      <c r="AU42" s="14">
        <v>15.668815472860695</v>
      </c>
      <c r="AV42" s="14">
        <v>2.5060271922516204</v>
      </c>
      <c r="AW42" s="14">
        <v>5.7997456278120012</v>
      </c>
      <c r="AX42" s="14">
        <v>3.428977611620327</v>
      </c>
      <c r="AY42" s="15">
        <f t="shared" si="0"/>
        <v>-2718.5584822748278</v>
      </c>
      <c r="AZ42">
        <f t="shared" si="1"/>
        <v>-8.330556166031462</v>
      </c>
    </row>
    <row r="43" spans="1:52" ht="15" thickBot="1" x14ac:dyDescent="0.4">
      <c r="A43" s="46" t="s">
        <v>85</v>
      </c>
      <c r="B43" s="36"/>
      <c r="C43" s="51">
        <v>9</v>
      </c>
      <c r="D43" s="51">
        <v>48.75</v>
      </c>
      <c r="E43" s="51">
        <v>12</v>
      </c>
      <c r="F43" s="52">
        <v>42</v>
      </c>
      <c r="G43" s="4" t="s">
        <v>76</v>
      </c>
      <c r="H43" s="4">
        <v>0.45</v>
      </c>
      <c r="I43" s="4">
        <v>13.94</v>
      </c>
      <c r="J43" s="4">
        <v>5.0999999999999996</v>
      </c>
      <c r="K43" s="4">
        <v>48.75</v>
      </c>
      <c r="L43" s="4">
        <v>23.11</v>
      </c>
      <c r="M43" s="4">
        <v>1.89</v>
      </c>
      <c r="N43" s="4">
        <v>0</v>
      </c>
      <c r="O43" s="4">
        <v>0</v>
      </c>
      <c r="P43" s="4">
        <v>0.1</v>
      </c>
      <c r="Q43" s="4">
        <v>6.98</v>
      </c>
      <c r="S43" s="4">
        <v>0</v>
      </c>
      <c r="T43" s="4">
        <v>0</v>
      </c>
      <c r="U43" s="4">
        <v>0</v>
      </c>
      <c r="V43" s="4">
        <v>100.32</v>
      </c>
      <c r="W43" s="14">
        <v>7.8475025041807385</v>
      </c>
      <c r="X43" s="14">
        <v>1.3275863653591553</v>
      </c>
      <c r="Y43" s="14">
        <v>1045.1466918624938</v>
      </c>
      <c r="Z43" s="14">
        <v>81.582479218410967</v>
      </c>
      <c r="AA43" s="14">
        <v>100.72870090531069</v>
      </c>
      <c r="AB43" s="14">
        <v>19.460713060925627</v>
      </c>
      <c r="AC43" s="14">
        <v>44.912052452600619</v>
      </c>
      <c r="AD43" s="14">
        <v>2.6469173320451773</v>
      </c>
      <c r="AE43" s="14">
        <v>2.9917734252894661</v>
      </c>
      <c r="AF43" s="14">
        <v>5.5704124419708023</v>
      </c>
      <c r="AG43" s="14">
        <v>6.36850338108502</v>
      </c>
      <c r="AH43" s="14">
        <v>8.5597296162660541E-2</v>
      </c>
      <c r="AI43" s="14">
        <v>0.44602122949228828</v>
      </c>
      <c r="AJ43" s="14">
        <v>0.79839423394969355</v>
      </c>
      <c r="AK43" s="14">
        <v>4.8529891772682276</v>
      </c>
      <c r="AL43" s="14">
        <v>6.5809689693200157</v>
      </c>
      <c r="AM43" s="14">
        <v>63.776577278811608</v>
      </c>
      <c r="AN43" s="14">
        <v>26.391915498123126</v>
      </c>
      <c r="AO43" s="14">
        <v>1.1459583005752854</v>
      </c>
      <c r="AP43" s="14">
        <v>10.394536940853182</v>
      </c>
      <c r="AQ43" s="14">
        <v>107.31659467332065</v>
      </c>
      <c r="AR43" s="14">
        <v>9574.8865269217622</v>
      </c>
      <c r="AS43" s="14">
        <v>4.589769349742765</v>
      </c>
      <c r="AT43" s="14">
        <v>2.5426077743004876</v>
      </c>
      <c r="AU43" s="14">
        <v>14.691580423065441</v>
      </c>
      <c r="AV43" s="14">
        <v>7.2544694531056358E-2</v>
      </c>
      <c r="AW43" s="14">
        <v>4.8825697488263504</v>
      </c>
      <c r="AX43" s="14">
        <v>1.6443018652610155</v>
      </c>
      <c r="AY43" s="15">
        <f t="shared" si="0"/>
        <v>1755.6516457941307</v>
      </c>
      <c r="AZ43">
        <f t="shared" si="1"/>
        <v>18.336004722956822</v>
      </c>
    </row>
    <row r="44" spans="1:52" ht="15" thickBot="1" x14ac:dyDescent="0.4">
      <c r="A44" s="46" t="s">
        <v>85</v>
      </c>
      <c r="B44" s="37"/>
      <c r="C44" s="31">
        <v>10</v>
      </c>
      <c r="D44" s="31">
        <v>50.56</v>
      </c>
      <c r="E44" s="31">
        <v>12</v>
      </c>
      <c r="F44" s="32">
        <v>43</v>
      </c>
      <c r="G44" s="4" t="s">
        <v>77</v>
      </c>
      <c r="H44" s="4">
        <v>0.44</v>
      </c>
      <c r="I44" s="4">
        <v>14.95</v>
      </c>
      <c r="J44" s="4">
        <v>4.04</v>
      </c>
      <c r="K44" s="4">
        <v>50.56</v>
      </c>
      <c r="L44" s="4">
        <v>23.56</v>
      </c>
      <c r="M44" s="4">
        <v>1.38</v>
      </c>
      <c r="N44" s="4">
        <v>0</v>
      </c>
      <c r="O44" s="4">
        <v>0.52</v>
      </c>
      <c r="P44" s="4">
        <v>0.09</v>
      </c>
      <c r="Q44" s="4">
        <v>5.33</v>
      </c>
      <c r="S44" s="4">
        <v>0</v>
      </c>
      <c r="T44" s="4">
        <v>0</v>
      </c>
      <c r="U44" s="4">
        <v>0</v>
      </c>
      <c r="V44" s="4">
        <v>100.88</v>
      </c>
      <c r="W44" s="14">
        <v>5.6843804388381542</v>
      </c>
      <c r="X44" s="14">
        <v>-0.91659066440620318</v>
      </c>
      <c r="Y44" s="14">
        <v>262.74757076263427</v>
      </c>
      <c r="Z44" s="14">
        <v>73.502196602020533</v>
      </c>
      <c r="AA44" s="14">
        <v>25.570824929550291</v>
      </c>
      <c r="AB44" s="14">
        <v>3.9253764312597923</v>
      </c>
      <c r="AC44" s="14">
        <v>8.2692517450358718</v>
      </c>
      <c r="AD44" s="14">
        <v>0.92569044168252734</v>
      </c>
      <c r="AE44" s="14">
        <v>0.87023009897978043</v>
      </c>
      <c r="AF44" s="14">
        <v>4.5947443784575448</v>
      </c>
      <c r="AG44" s="14">
        <v>7.5439346987477618E-2</v>
      </c>
      <c r="AH44" s="14">
        <v>3.5843795408418373E-2</v>
      </c>
      <c r="AI44" s="14">
        <v>0.18949882084016284</v>
      </c>
      <c r="AJ44" s="14">
        <v>0.33459781135828237</v>
      </c>
      <c r="AK44" s="14">
        <v>1.823728644550545</v>
      </c>
      <c r="AL44" s="14">
        <v>1.2340990477416436</v>
      </c>
      <c r="AM44" s="14">
        <v>18.959400178285314</v>
      </c>
      <c r="AN44" s="14">
        <v>8.3947646721750502</v>
      </c>
      <c r="AO44" s="14">
        <v>0.82080168211253235</v>
      </c>
      <c r="AP44" s="14">
        <v>6.4759871225497703</v>
      </c>
      <c r="AQ44" s="14">
        <v>96.886660657286654</v>
      </c>
      <c r="AR44" s="14">
        <v>8877.0354706668859</v>
      </c>
      <c r="AS44" s="14">
        <v>4.2942931852316155</v>
      </c>
      <c r="AT44" s="14">
        <v>0.9067526473153199</v>
      </c>
      <c r="AU44" s="14">
        <v>3.0214138022807417</v>
      </c>
      <c r="AV44" s="14">
        <v>0.45193293975995652</v>
      </c>
      <c r="AW44" s="14">
        <v>1.2034658817122563</v>
      </c>
      <c r="AX44" s="14">
        <v>0.67856370948545286</v>
      </c>
      <c r="AY44" s="15">
        <f t="shared" si="0"/>
        <v>-603.94410646163124</v>
      </c>
      <c r="AZ44">
        <f t="shared" si="1"/>
        <v>-6.803443654779719</v>
      </c>
    </row>
    <row r="45" spans="1:52" ht="15" thickBot="1" x14ac:dyDescent="0.4">
      <c r="A45" s="46" t="s">
        <v>85</v>
      </c>
      <c r="B45" s="37"/>
      <c r="C45" s="31">
        <v>11</v>
      </c>
      <c r="D45" s="31">
        <v>48.17</v>
      </c>
      <c r="E45" s="31">
        <v>12</v>
      </c>
      <c r="F45" s="32">
        <v>44</v>
      </c>
      <c r="G45" s="4" t="s">
        <v>86</v>
      </c>
      <c r="H45" s="4">
        <v>0.41</v>
      </c>
      <c r="I45" s="4">
        <v>13.89</v>
      </c>
      <c r="J45" s="4">
        <v>5.6</v>
      </c>
      <c r="K45" s="4">
        <v>48.17</v>
      </c>
      <c r="L45" s="4">
        <v>23.72</v>
      </c>
      <c r="M45" s="4">
        <v>2.1800000000000002</v>
      </c>
      <c r="N45" s="4">
        <v>0</v>
      </c>
      <c r="O45" s="4">
        <v>0.38</v>
      </c>
      <c r="P45" s="4">
        <v>0</v>
      </c>
      <c r="Q45" s="4">
        <v>6.24</v>
      </c>
      <c r="S45" s="4">
        <v>0</v>
      </c>
      <c r="T45" s="4">
        <v>0</v>
      </c>
      <c r="U45" s="4">
        <v>0</v>
      </c>
      <c r="V45" s="4">
        <v>100.58</v>
      </c>
      <c r="W45" s="14">
        <v>6.1200496750503381</v>
      </c>
      <c r="X45" s="14">
        <v>-6.9623876646928995</v>
      </c>
      <c r="Y45" s="14">
        <v>264.95811353943128</v>
      </c>
      <c r="Z45" s="14">
        <v>126.4265058714125</v>
      </c>
      <c r="AA45" s="14">
        <v>34.264534897226838</v>
      </c>
      <c r="AB45" s="14">
        <v>5.2444097441020858</v>
      </c>
      <c r="AC45" s="14">
        <v>10.75508015979646</v>
      </c>
      <c r="AD45" s="14">
        <v>1.2216984868921938</v>
      </c>
      <c r="AE45" s="14">
        <v>1.3031013338783597</v>
      </c>
      <c r="AF45" s="14">
        <v>6.9259263915724452</v>
      </c>
      <c r="AG45" s="14">
        <v>9.5170198686315072E-2</v>
      </c>
      <c r="AH45" s="14">
        <v>1.4288898992738268E-2</v>
      </c>
      <c r="AI45" s="14">
        <v>0.30035303443783051</v>
      </c>
      <c r="AJ45" s="14">
        <v>0.4214147725141047</v>
      </c>
      <c r="AK45" s="14">
        <v>2.4283754521269367</v>
      </c>
      <c r="AL45" s="14">
        <v>1.4528020058724116</v>
      </c>
      <c r="AM45" s="14">
        <v>25.59636452871101</v>
      </c>
      <c r="AN45" s="14">
        <v>12.028200513622666</v>
      </c>
      <c r="AO45" s="14">
        <v>1.730721948912789</v>
      </c>
      <c r="AP45" s="14">
        <v>7.9534548551149671</v>
      </c>
      <c r="AQ45" s="14">
        <v>104.2568965713121</v>
      </c>
      <c r="AR45" s="14">
        <v>11637.710561803578</v>
      </c>
      <c r="AS45" s="14">
        <v>11.083102393398384</v>
      </c>
      <c r="AT45" s="14">
        <v>1.032952526399215</v>
      </c>
      <c r="AU45" s="14">
        <v>4.1390131026311767</v>
      </c>
      <c r="AV45" s="14">
        <v>0.74406865452672077</v>
      </c>
      <c r="AW45" s="14">
        <v>1.4331729288610762</v>
      </c>
      <c r="AX45" s="14">
        <v>0.92740236436411871</v>
      </c>
      <c r="AY45" s="15">
        <f t="shared" si="0"/>
        <v>1431.3757961438569</v>
      </c>
      <c r="AZ45">
        <f t="shared" si="1"/>
        <v>12.299462068096204</v>
      </c>
    </row>
    <row r="46" spans="1:52" ht="15" thickBot="1" x14ac:dyDescent="0.4">
      <c r="A46" s="46" t="s">
        <v>85</v>
      </c>
      <c r="B46" s="41"/>
      <c r="C46" s="34">
        <v>12</v>
      </c>
      <c r="D46" s="34">
        <v>44.72</v>
      </c>
      <c r="E46" s="34">
        <v>12</v>
      </c>
      <c r="F46" s="35">
        <v>45</v>
      </c>
      <c r="G46" s="4" t="s">
        <v>87</v>
      </c>
      <c r="H46" s="4">
        <v>0.63</v>
      </c>
      <c r="I46" s="4">
        <v>11.97</v>
      </c>
      <c r="J46" s="4">
        <v>8.27</v>
      </c>
      <c r="K46" s="4">
        <v>44.72</v>
      </c>
      <c r="L46" s="4">
        <v>23.5</v>
      </c>
      <c r="M46" s="4">
        <v>3.72</v>
      </c>
      <c r="N46" s="4">
        <v>0</v>
      </c>
      <c r="O46" s="4">
        <v>0</v>
      </c>
      <c r="P46" s="4">
        <v>0</v>
      </c>
      <c r="Q46" s="4">
        <v>8</v>
      </c>
      <c r="S46" s="4">
        <v>0</v>
      </c>
      <c r="T46" s="4">
        <v>0</v>
      </c>
      <c r="U46" s="4">
        <v>0</v>
      </c>
      <c r="V46" s="4">
        <v>100.81</v>
      </c>
      <c r="W46" s="14">
        <v>10.857711631032172</v>
      </c>
      <c r="X46" s="14">
        <v>2.3655725166941299</v>
      </c>
      <c r="Y46" s="14">
        <v>830.72484578812112</v>
      </c>
      <c r="Z46" s="14">
        <v>415.22908484460135</v>
      </c>
      <c r="AA46" s="14">
        <v>130.08061126660556</v>
      </c>
      <c r="AB46" s="14">
        <v>16.745369985472642</v>
      </c>
      <c r="AC46" s="14">
        <v>39.032195578228681</v>
      </c>
      <c r="AD46" s="14">
        <v>4.5282871303153804</v>
      </c>
      <c r="AE46" s="14">
        <v>3.8149791177241132</v>
      </c>
      <c r="AF46" s="14">
        <v>17.18700995755766</v>
      </c>
      <c r="AG46" s="14">
        <v>1.3059349152436335</v>
      </c>
      <c r="AH46" s="14">
        <v>5.1388656007989079E-2</v>
      </c>
      <c r="AI46" s="14">
        <v>2.3105367023090366</v>
      </c>
      <c r="AJ46" s="14">
        <v>1.3624565729233438</v>
      </c>
      <c r="AK46" s="14">
        <v>7.8070438926675116</v>
      </c>
      <c r="AL46" s="14">
        <v>5.9751354710158484</v>
      </c>
      <c r="AM46" s="14">
        <v>87.098558998564258</v>
      </c>
      <c r="AN46" s="14">
        <v>53.719509239807721</v>
      </c>
      <c r="AO46" s="14">
        <v>10.735149422862879</v>
      </c>
      <c r="AP46" s="14">
        <v>27.613580311544126</v>
      </c>
      <c r="AQ46" s="14">
        <v>168.01415185624361</v>
      </c>
      <c r="AR46" s="14">
        <v>23579.696182260512</v>
      </c>
      <c r="AS46" s="14">
        <v>3.9360702075843341</v>
      </c>
      <c r="AT46" s="14">
        <v>0.87145692614814285</v>
      </c>
      <c r="AU46" s="14">
        <v>11.596981787157372</v>
      </c>
      <c r="AV46" s="14">
        <v>2.0894568545690078</v>
      </c>
      <c r="AW46" s="14">
        <v>4.8682142405002686</v>
      </c>
      <c r="AX46" s="14">
        <v>3.5286195076833144</v>
      </c>
      <c r="AY46" s="15">
        <f t="shared" si="0"/>
        <v>-1278.3194613593841</v>
      </c>
      <c r="AZ46">
        <f t="shared" si="1"/>
        <v>-5.4212719768674971</v>
      </c>
    </row>
    <row r="47" spans="1:52" ht="15" thickBot="1" x14ac:dyDescent="0.4">
      <c r="A47" s="46" t="s">
        <v>88</v>
      </c>
      <c r="B47" s="36"/>
      <c r="C47" s="9">
        <v>35</v>
      </c>
      <c r="D47" s="9">
        <v>49.44</v>
      </c>
      <c r="E47" s="9">
        <v>13</v>
      </c>
      <c r="F47" s="10">
        <v>46</v>
      </c>
      <c r="G47" s="4" t="s">
        <v>89</v>
      </c>
      <c r="H47" s="4">
        <v>2.2000000000000002</v>
      </c>
      <c r="I47" s="4">
        <v>5.93</v>
      </c>
      <c r="J47" s="4">
        <v>1.7</v>
      </c>
      <c r="K47" s="4">
        <v>49.44</v>
      </c>
      <c r="L47" s="4">
        <v>19.48</v>
      </c>
      <c r="M47" s="4">
        <v>0.37</v>
      </c>
      <c r="N47" s="4">
        <v>7.0000000000000007E-2</v>
      </c>
      <c r="O47" s="4">
        <v>0</v>
      </c>
      <c r="P47" s="4">
        <v>0.53</v>
      </c>
      <c r="Q47" s="4">
        <v>19.399999999999999</v>
      </c>
      <c r="R47" s="4">
        <v>0</v>
      </c>
      <c r="S47" s="4">
        <v>0</v>
      </c>
      <c r="T47" s="4">
        <v>0</v>
      </c>
      <c r="U47" s="4">
        <v>0</v>
      </c>
      <c r="V47" s="4">
        <v>99.14</v>
      </c>
      <c r="W47" s="14">
        <v>24.834180895283815</v>
      </c>
      <c r="X47" s="14">
        <v>-15.158467332309806</v>
      </c>
      <c r="Y47" s="14">
        <v>1076.256590608835</v>
      </c>
      <c r="Z47" s="14">
        <v>172.24029436512177</v>
      </c>
      <c r="AA47" s="14">
        <v>55.506131952367717</v>
      </c>
      <c r="AB47" s="14">
        <v>4.3008824474061838</v>
      </c>
      <c r="AC47" s="14">
        <v>14.587670468025838</v>
      </c>
      <c r="AD47" s="14">
        <v>2.8224636866985819</v>
      </c>
      <c r="AE47" s="14">
        <v>5.71575421192171</v>
      </c>
      <c r="AF47" s="14">
        <v>5.0528671672767373</v>
      </c>
      <c r="AG47" s="14">
        <v>9.4083993846084013E-2</v>
      </c>
      <c r="AH47" s="14">
        <v>8.2736045765072957E-2</v>
      </c>
      <c r="AI47" s="14">
        <v>0.30811354635934546</v>
      </c>
      <c r="AJ47" s="14">
        <v>0.6811270131440833</v>
      </c>
      <c r="AK47" s="14">
        <v>2.8877865658529331</v>
      </c>
      <c r="AL47" s="14">
        <v>1.1241591200863787</v>
      </c>
      <c r="AM47" s="14">
        <v>25.58017970368126</v>
      </c>
      <c r="AN47" s="14">
        <v>25.249779178161173</v>
      </c>
      <c r="AO47" s="14">
        <v>1.2634412721231147</v>
      </c>
      <c r="AP47" s="14">
        <v>17.105263885295177</v>
      </c>
      <c r="AQ47" s="14">
        <v>316.13837448763849</v>
      </c>
      <c r="AR47" s="14">
        <v>2877.276260871291</v>
      </c>
      <c r="AS47" s="14">
        <v>1.6872339961367306</v>
      </c>
      <c r="AT47" s="14">
        <v>5.951714096488403</v>
      </c>
      <c r="AU47" s="14">
        <v>2.5166782410365647</v>
      </c>
      <c r="AV47" s="14">
        <v>5.2683340914747321</v>
      </c>
      <c r="AW47" s="14">
        <v>1.0778954166056991</v>
      </c>
      <c r="AX47" s="14">
        <v>2.6011223292045269</v>
      </c>
      <c r="AY47" s="15">
        <f t="shared" si="0"/>
        <v>-659.12857626553387</v>
      </c>
      <c r="AZ47" s="66">
        <f t="shared" si="1"/>
        <v>-22.908074043120834</v>
      </c>
    </row>
    <row r="48" spans="1:52" ht="15" thickBot="1" x14ac:dyDescent="0.4">
      <c r="A48" s="46" t="s">
        <v>88</v>
      </c>
      <c r="B48" s="37"/>
      <c r="C48" s="18">
        <v>36</v>
      </c>
      <c r="D48" s="18">
        <v>49.66</v>
      </c>
      <c r="E48" s="18">
        <v>13</v>
      </c>
      <c r="F48" s="19">
        <v>47</v>
      </c>
      <c r="G48" s="4" t="s">
        <v>90</v>
      </c>
      <c r="H48" s="4">
        <v>2.0699999999999998</v>
      </c>
      <c r="I48" s="4">
        <v>6.47</v>
      </c>
      <c r="J48" s="4">
        <v>1.48</v>
      </c>
      <c r="K48" s="4">
        <v>49.66</v>
      </c>
      <c r="L48" s="4">
        <v>19.940000000000001</v>
      </c>
      <c r="M48" s="4">
        <v>0.56000000000000005</v>
      </c>
      <c r="N48" s="4">
        <v>0</v>
      </c>
      <c r="O48" s="4">
        <v>0</v>
      </c>
      <c r="P48" s="4">
        <v>0.53</v>
      </c>
      <c r="Q48" s="4">
        <v>18.670000000000002</v>
      </c>
      <c r="R48" s="4">
        <v>0</v>
      </c>
      <c r="S48" s="4">
        <v>0</v>
      </c>
      <c r="T48" s="4">
        <v>0</v>
      </c>
      <c r="U48" s="4">
        <v>0</v>
      </c>
      <c r="V48" s="4">
        <v>99.38</v>
      </c>
      <c r="W48" s="14">
        <v>24.109216243259606</v>
      </c>
      <c r="X48" s="14">
        <v>5.3442655571011368</v>
      </c>
      <c r="Y48" s="14">
        <v>1101.3959780228138</v>
      </c>
      <c r="Z48" s="14">
        <v>179.15937225809589</v>
      </c>
      <c r="AA48" s="14">
        <v>67.919600832152639</v>
      </c>
      <c r="AB48" s="14">
        <v>5.3792826792792763</v>
      </c>
      <c r="AC48" s="14">
        <v>17.770577441005035</v>
      </c>
      <c r="AD48" s="14">
        <v>3.0410644918598404</v>
      </c>
      <c r="AE48" s="14">
        <v>5.9228259697791064</v>
      </c>
      <c r="AF48" s="14">
        <v>5.7891540230710232</v>
      </c>
      <c r="AG48" s="14">
        <v>2.5194108614595336E-2</v>
      </c>
      <c r="AH48" s="14">
        <v>2.0021947698478752E-2</v>
      </c>
      <c r="AI48" s="14">
        <v>0.32135484019320298</v>
      </c>
      <c r="AJ48" s="14">
        <v>0.66249010054049717</v>
      </c>
      <c r="AK48" s="14">
        <v>3.3620342300951593</v>
      </c>
      <c r="AL48" s="14">
        <v>1.375200465539073</v>
      </c>
      <c r="AM48" s="14">
        <v>32.21224845973105</v>
      </c>
      <c r="AN48" s="14">
        <v>30.588652419007847</v>
      </c>
      <c r="AO48" s="14">
        <v>0.49768567963757976</v>
      </c>
      <c r="AP48" s="14">
        <v>17.646851189346606</v>
      </c>
      <c r="AQ48" s="14">
        <v>306.5474160161167</v>
      </c>
      <c r="AR48" s="14">
        <v>3176.8980093909054</v>
      </c>
      <c r="AS48" s="14">
        <v>2.6218967251541478</v>
      </c>
      <c r="AT48" s="14">
        <v>5.016917426922145</v>
      </c>
      <c r="AU48" s="14">
        <v>4.4610074076493822</v>
      </c>
      <c r="AV48" s="14">
        <v>5.1878885020302565</v>
      </c>
      <c r="AW48" s="14">
        <v>1.3481361532588576</v>
      </c>
      <c r="AX48" s="14">
        <v>2.7642303188481514</v>
      </c>
      <c r="AY48" s="15">
        <f t="shared" si="0"/>
        <v>180.29848622861891</v>
      </c>
      <c r="AZ48">
        <f t="shared" si="1"/>
        <v>5.675299795450055</v>
      </c>
    </row>
    <row r="49" spans="1:52" ht="15" thickBot="1" x14ac:dyDescent="0.4">
      <c r="A49" s="46" t="s">
        <v>88</v>
      </c>
      <c r="B49" s="37"/>
      <c r="C49" s="18">
        <v>37</v>
      </c>
      <c r="D49" s="18">
        <v>51.01</v>
      </c>
      <c r="E49" s="18">
        <v>13</v>
      </c>
      <c r="F49" s="19">
        <v>48</v>
      </c>
      <c r="G49" s="4" t="s">
        <v>91</v>
      </c>
      <c r="H49" s="4">
        <v>2.25</v>
      </c>
      <c r="I49" s="4">
        <v>7.52</v>
      </c>
      <c r="J49" s="4">
        <v>0.62</v>
      </c>
      <c r="K49" s="4">
        <v>51.01</v>
      </c>
      <c r="L49" s="4">
        <v>19.84</v>
      </c>
      <c r="M49" s="4">
        <v>0.38</v>
      </c>
      <c r="N49" s="4">
        <v>0</v>
      </c>
      <c r="O49" s="4">
        <v>0</v>
      </c>
      <c r="P49" s="4">
        <v>0.48</v>
      </c>
      <c r="Q49" s="4">
        <v>17.29</v>
      </c>
      <c r="R49" s="4">
        <v>0</v>
      </c>
      <c r="S49" s="4">
        <v>0</v>
      </c>
      <c r="T49" s="4">
        <v>0</v>
      </c>
      <c r="U49" s="4">
        <v>0</v>
      </c>
      <c r="V49" s="4">
        <v>99.4</v>
      </c>
      <c r="W49" s="14">
        <v>22.773753998788539</v>
      </c>
      <c r="X49" s="14">
        <v>-6.5802193533366609</v>
      </c>
      <c r="Y49" s="14">
        <v>1075.1361545967011</v>
      </c>
      <c r="Z49" s="14">
        <v>156.02298322309778</v>
      </c>
      <c r="AA49" s="14">
        <v>68.90612152397982</v>
      </c>
      <c r="AB49" s="14">
        <v>5.6799741466715199</v>
      </c>
      <c r="AC49" s="14">
        <v>17.920475558022734</v>
      </c>
      <c r="AD49" s="14">
        <v>2.7754109206520661</v>
      </c>
      <c r="AE49" s="14">
        <v>5.3934573878030054</v>
      </c>
      <c r="AF49" s="14">
        <v>5.0310168803694504</v>
      </c>
      <c r="AG49" s="14">
        <v>2.696516582052709E-2</v>
      </c>
      <c r="AH49" s="14">
        <v>1.6082441021524972E-2</v>
      </c>
      <c r="AI49" s="14">
        <v>0.27357482400002481</v>
      </c>
      <c r="AJ49" s="14">
        <v>0.74500639842342931</v>
      </c>
      <c r="AK49" s="14">
        <v>3.2898183825524896</v>
      </c>
      <c r="AL49" s="14">
        <v>1.5384266943745353</v>
      </c>
      <c r="AM49" s="14">
        <v>33.505806929887243</v>
      </c>
      <c r="AN49" s="14">
        <v>29.929187143224407</v>
      </c>
      <c r="AO49" s="14">
        <v>0.46482461148126841</v>
      </c>
      <c r="AP49" s="14">
        <v>16.768637796680668</v>
      </c>
      <c r="AQ49" s="14">
        <v>342.29576834180205</v>
      </c>
      <c r="AR49" s="14">
        <v>3366.1627168614045</v>
      </c>
      <c r="AS49" s="14">
        <v>2.0056818734311301</v>
      </c>
      <c r="AT49" s="14">
        <v>5.1124134906066292</v>
      </c>
      <c r="AU49" s="14">
        <v>5.0234646283609576</v>
      </c>
      <c r="AV49" s="14">
        <v>4.6346287861363455</v>
      </c>
      <c r="AW49" s="14">
        <v>1.5193970402354462</v>
      </c>
      <c r="AX49" s="14">
        <v>2.4634090341265709</v>
      </c>
      <c r="AY49" s="15">
        <f t="shared" si="0"/>
        <v>-1088.0650948338707</v>
      </c>
      <c r="AZ49" s="66">
        <f t="shared" si="1"/>
        <v>-32.323603650639264</v>
      </c>
    </row>
    <row r="50" spans="1:52" ht="15" thickBot="1" x14ac:dyDescent="0.4">
      <c r="A50" s="46" t="s">
        <v>88</v>
      </c>
      <c r="B50" s="37"/>
      <c r="C50" s="18">
        <v>38</v>
      </c>
      <c r="D50" s="18">
        <v>46.8</v>
      </c>
      <c r="E50" s="18">
        <v>13</v>
      </c>
      <c r="F50" s="19">
        <v>49</v>
      </c>
      <c r="G50" s="4" t="s">
        <v>92</v>
      </c>
      <c r="H50" s="4">
        <v>1.08</v>
      </c>
      <c r="I50" s="4">
        <v>9.99</v>
      </c>
      <c r="J50" s="4">
        <v>5.78</v>
      </c>
      <c r="K50" s="4">
        <v>46.8</v>
      </c>
      <c r="L50" s="4">
        <v>22.07</v>
      </c>
      <c r="M50" s="4">
        <v>1.87</v>
      </c>
      <c r="N50" s="4">
        <v>0</v>
      </c>
      <c r="O50" s="4">
        <v>0</v>
      </c>
      <c r="P50" s="4">
        <v>0.28999999999999998</v>
      </c>
      <c r="Q50" s="4">
        <v>11.36</v>
      </c>
      <c r="R50" s="4">
        <v>0</v>
      </c>
      <c r="S50" s="4">
        <v>0</v>
      </c>
      <c r="T50" s="4">
        <v>0</v>
      </c>
      <c r="U50" s="4">
        <v>0</v>
      </c>
      <c r="V50" s="4">
        <v>99.24</v>
      </c>
      <c r="W50" s="14">
        <v>14.03727318241261</v>
      </c>
      <c r="X50" s="14">
        <v>-18.975334228942369</v>
      </c>
      <c r="Y50" s="14">
        <v>1045.722382734418</v>
      </c>
      <c r="Z50" s="14">
        <v>292.52011780727753</v>
      </c>
      <c r="AA50" s="14">
        <v>148.95917894169688</v>
      </c>
      <c r="AB50" s="14">
        <v>14.800576831883516</v>
      </c>
      <c r="AC50" s="14">
        <v>40.397381742987776</v>
      </c>
      <c r="AD50" s="14">
        <v>4.2605235407530557</v>
      </c>
      <c r="AE50" s="14">
        <v>5.0455151066067625</v>
      </c>
      <c r="AF50" s="14">
        <v>10.095296374576572</v>
      </c>
      <c r="AG50" s="14">
        <v>0.15068215040043922</v>
      </c>
      <c r="AH50" s="14">
        <v>3.2601261542089331E-2</v>
      </c>
      <c r="AI50" s="14">
        <v>0.96865183419322409</v>
      </c>
      <c r="AJ50" s="14">
        <v>1.2508118419395757</v>
      </c>
      <c r="AK50" s="14">
        <v>6.9492852225067328</v>
      </c>
      <c r="AL50" s="14">
        <v>3.8534357974206377</v>
      </c>
      <c r="AM50" s="14">
        <v>81.036249671741373</v>
      </c>
      <c r="AN50" s="14">
        <v>48.454183381693433</v>
      </c>
      <c r="AO50" s="14">
        <v>4.6728523179807988</v>
      </c>
      <c r="AP50" s="14">
        <v>24.648785543031384</v>
      </c>
      <c r="AQ50" s="14">
        <v>233.61531483516097</v>
      </c>
      <c r="AR50" s="14">
        <v>9048.0704753726714</v>
      </c>
      <c r="AS50" s="14">
        <v>2.1057229940457156</v>
      </c>
      <c r="AT50" s="14">
        <v>3.6104591726677735</v>
      </c>
      <c r="AU50" s="14">
        <v>11.854134637983933</v>
      </c>
      <c r="AV50" s="14">
        <v>3.4170401165002637</v>
      </c>
      <c r="AW50" s="14">
        <v>3.7623799629679531</v>
      </c>
      <c r="AX50" s="14">
        <v>3.4879344049404559</v>
      </c>
      <c r="AY50" s="15">
        <f t="shared" si="0"/>
        <v>2162.56782249967</v>
      </c>
      <c r="AZ50" s="66">
        <f t="shared" si="1"/>
        <v>23.90087288097298</v>
      </c>
    </row>
    <row r="51" spans="1:52" ht="15" thickBot="1" x14ac:dyDescent="0.4">
      <c r="A51" s="46" t="s">
        <v>88</v>
      </c>
      <c r="B51" s="37"/>
      <c r="C51" s="18">
        <v>39</v>
      </c>
      <c r="D51" s="18">
        <v>46.75</v>
      </c>
      <c r="E51" s="18">
        <v>13</v>
      </c>
      <c r="F51" s="19">
        <v>50</v>
      </c>
      <c r="G51" s="4" t="s">
        <v>93</v>
      </c>
      <c r="H51" s="4">
        <v>0.75</v>
      </c>
      <c r="I51" s="4">
        <v>12.13</v>
      </c>
      <c r="J51" s="4">
        <v>6.72</v>
      </c>
      <c r="K51" s="4">
        <v>46.75</v>
      </c>
      <c r="L51" s="4">
        <v>22.97</v>
      </c>
      <c r="M51" s="4">
        <v>1.92</v>
      </c>
      <c r="N51" s="4">
        <v>0</v>
      </c>
      <c r="O51" s="4">
        <v>0</v>
      </c>
      <c r="P51" s="4">
        <v>0.14000000000000001</v>
      </c>
      <c r="Q51" s="4">
        <v>8.2899999999999991</v>
      </c>
      <c r="R51" s="4">
        <v>0</v>
      </c>
      <c r="S51" s="4">
        <v>0</v>
      </c>
      <c r="T51" s="4">
        <v>0</v>
      </c>
      <c r="U51" s="4">
        <v>0</v>
      </c>
      <c r="V51" s="4">
        <v>99.68</v>
      </c>
      <c r="W51" s="14">
        <v>12.500264826724015</v>
      </c>
      <c r="X51" s="14">
        <v>-2.302638387504548</v>
      </c>
      <c r="Y51" s="14">
        <v>936.37012922540305</v>
      </c>
      <c r="Z51" s="14">
        <v>382.37585989340994</v>
      </c>
      <c r="AA51" s="14">
        <v>205.60219783731736</v>
      </c>
      <c r="AB51" s="14">
        <v>21.461617480235873</v>
      </c>
      <c r="AC51" s="14">
        <v>56.426244811050125</v>
      </c>
      <c r="AD51" s="14">
        <v>5.077166121142727</v>
      </c>
      <c r="AE51" s="14">
        <v>5.6802231214431229</v>
      </c>
      <c r="AF51" s="14">
        <v>13.434589985321873</v>
      </c>
      <c r="AG51" s="14">
        <v>0.67564219874441278</v>
      </c>
      <c r="AH51" s="14">
        <v>5.9904269499739371E-2</v>
      </c>
      <c r="AI51" s="14">
        <v>1.3229762901164577</v>
      </c>
      <c r="AJ51" s="14">
        <v>1.6505719639615564</v>
      </c>
      <c r="AK51" s="14">
        <v>9.8127471948857412</v>
      </c>
      <c r="AL51" s="14">
        <v>5.6949270522319067</v>
      </c>
      <c r="AM51" s="14">
        <v>122.83896900626713</v>
      </c>
      <c r="AN51" s="14">
        <v>73.776842677616514</v>
      </c>
      <c r="AO51" s="14">
        <v>7.4428306184819473</v>
      </c>
      <c r="AP51" s="14">
        <v>32.813730650948571</v>
      </c>
      <c r="AQ51" s="14">
        <v>215.67121324427427</v>
      </c>
      <c r="AR51" s="14">
        <v>13003.015359845012</v>
      </c>
      <c r="AS51" s="14">
        <v>2.6344811334958367</v>
      </c>
      <c r="AT51" s="14">
        <v>3.326619917846581</v>
      </c>
      <c r="AU51" s="14">
        <v>16.439976457409863</v>
      </c>
      <c r="AV51" s="14">
        <v>3.3040799158858767</v>
      </c>
      <c r="AW51" s="14">
        <v>5.6161302441294758</v>
      </c>
      <c r="AX51" s="14">
        <v>3.9239170461874675</v>
      </c>
      <c r="AY51" s="15">
        <f t="shared" si="0"/>
        <v>-1492.6273748637886</v>
      </c>
      <c r="AZ51">
        <f t="shared" si="1"/>
        <v>-11.4790864546174</v>
      </c>
    </row>
    <row r="52" spans="1:52" ht="15" thickBot="1" x14ac:dyDescent="0.4">
      <c r="A52" s="46" t="s">
        <v>88</v>
      </c>
      <c r="B52" s="37"/>
      <c r="C52" s="20">
        <v>40</v>
      </c>
      <c r="D52" s="20">
        <v>48.87</v>
      </c>
      <c r="E52" s="20">
        <v>13</v>
      </c>
      <c r="F52" s="21">
        <v>51</v>
      </c>
      <c r="G52" s="4" t="s">
        <v>94</v>
      </c>
      <c r="H52" s="4">
        <v>1.68</v>
      </c>
      <c r="I52" s="4">
        <v>9.19</v>
      </c>
      <c r="J52" s="4">
        <v>3.48</v>
      </c>
      <c r="K52" s="4">
        <v>48.87</v>
      </c>
      <c r="L52" s="4">
        <v>21.1</v>
      </c>
      <c r="M52" s="4">
        <v>0.98</v>
      </c>
      <c r="N52" s="4">
        <v>0</v>
      </c>
      <c r="O52" s="4">
        <v>0</v>
      </c>
      <c r="P52" s="4">
        <v>0.35</v>
      </c>
      <c r="Q52" s="4">
        <v>13.94</v>
      </c>
      <c r="R52" s="4">
        <v>0</v>
      </c>
      <c r="S52" s="4">
        <v>0</v>
      </c>
      <c r="T52" s="4">
        <v>0</v>
      </c>
      <c r="U52" s="4">
        <v>0</v>
      </c>
      <c r="V52" s="4">
        <v>99.59</v>
      </c>
      <c r="W52" s="14">
        <v>15.552787536961258</v>
      </c>
      <c r="X52" s="14">
        <v>0.46293758444197675</v>
      </c>
      <c r="Y52" s="14">
        <v>556.67206735539435</v>
      </c>
      <c r="Z52" s="14">
        <v>382.05788098100135</v>
      </c>
      <c r="AA52" s="14">
        <v>98.944342061681667</v>
      </c>
      <c r="AB52" s="14">
        <v>11.137734218159311</v>
      </c>
      <c r="AC52" s="14">
        <v>26.944649302896806</v>
      </c>
      <c r="AD52" s="14">
        <v>3.5547928038450878</v>
      </c>
      <c r="AE52" s="14">
        <v>5.0663063693032599</v>
      </c>
      <c r="AF52" s="14">
        <v>9.9429331757988315</v>
      </c>
      <c r="AG52" s="14">
        <v>0.13520024402484065</v>
      </c>
      <c r="AH52" s="14">
        <v>7.9150079283832036E-3</v>
      </c>
      <c r="AI52" s="14">
        <v>0.63401347333954161</v>
      </c>
      <c r="AJ52" s="14">
        <v>0.99386856149797664</v>
      </c>
      <c r="AK52" s="14">
        <v>5.0197796706745725</v>
      </c>
      <c r="AL52" s="14">
        <v>2.8737341994611709</v>
      </c>
      <c r="AM52" s="14">
        <v>59.346074010845037</v>
      </c>
      <c r="AN52" s="14">
        <v>35.703913558023629</v>
      </c>
      <c r="AO52" s="14">
        <v>4.5338979207795322</v>
      </c>
      <c r="AP52" s="14">
        <v>22.539618861223019</v>
      </c>
      <c r="AQ52" s="14">
        <v>175.84340214571728</v>
      </c>
      <c r="AR52" s="14">
        <v>7732.7491909535229</v>
      </c>
      <c r="AS52" s="14">
        <v>1.8615244350798763</v>
      </c>
      <c r="AT52" s="14">
        <v>1.8709929499041744</v>
      </c>
      <c r="AU52" s="14">
        <v>8.9049562142061092</v>
      </c>
      <c r="AV52" s="14">
        <v>3.6459215799376845</v>
      </c>
      <c r="AW52" s="14">
        <v>2.8730820901747185</v>
      </c>
      <c r="AX52" s="14">
        <v>2.9648173013666721</v>
      </c>
      <c r="AY52" s="15">
        <f t="shared" si="0"/>
        <v>-1857.6553236193558</v>
      </c>
      <c r="AZ52" s="66">
        <f t="shared" si="1"/>
        <v>-24.023219656375392</v>
      </c>
    </row>
    <row r="53" spans="1:52" ht="15" thickBot="1" x14ac:dyDescent="0.4">
      <c r="A53" s="46" t="s">
        <v>88</v>
      </c>
      <c r="B53" s="37"/>
      <c r="C53" s="20">
        <v>41</v>
      </c>
      <c r="D53" s="20">
        <v>48.65</v>
      </c>
      <c r="E53" s="20">
        <v>13</v>
      </c>
      <c r="F53" s="21">
        <v>52</v>
      </c>
      <c r="G53" s="4" t="s">
        <v>95</v>
      </c>
      <c r="H53" s="4">
        <v>1.65</v>
      </c>
      <c r="I53" s="4">
        <v>8.57</v>
      </c>
      <c r="J53" s="4">
        <v>3.23</v>
      </c>
      <c r="K53" s="4">
        <v>48.65</v>
      </c>
      <c r="L53" s="4">
        <v>20.75</v>
      </c>
      <c r="M53" s="4">
        <v>0.95</v>
      </c>
      <c r="N53" s="4">
        <v>0</v>
      </c>
      <c r="O53" s="4">
        <v>0</v>
      </c>
      <c r="P53" s="4">
        <v>0.36</v>
      </c>
      <c r="Q53" s="4">
        <v>14.95</v>
      </c>
      <c r="R53" s="4">
        <v>0</v>
      </c>
      <c r="S53" s="4">
        <v>0</v>
      </c>
      <c r="T53" s="4">
        <v>0</v>
      </c>
      <c r="U53" s="4">
        <v>0</v>
      </c>
      <c r="V53" s="4">
        <v>99.11</v>
      </c>
      <c r="W53" s="14">
        <v>16.92174506732146</v>
      </c>
      <c r="X53" s="14">
        <v>0.65598373159693946</v>
      </c>
      <c r="Y53" s="14">
        <v>519.71816357113414</v>
      </c>
      <c r="Z53" s="14">
        <v>310.88018610212538</v>
      </c>
      <c r="AA53" s="14">
        <v>80.284000104828735</v>
      </c>
      <c r="AB53" s="14">
        <v>8.3442258187005791</v>
      </c>
      <c r="AC53" s="14">
        <v>21.885706025890247</v>
      </c>
      <c r="AD53" s="14">
        <v>3.0204693370784659</v>
      </c>
      <c r="AE53" s="14">
        <v>5.1448920336455197</v>
      </c>
      <c r="AF53" s="14">
        <v>9.0596877318356199</v>
      </c>
      <c r="AG53" s="14">
        <v>0.14836417361417489</v>
      </c>
      <c r="AH53" s="14">
        <v>4.0657075368524427E-2</v>
      </c>
      <c r="AI53" s="14">
        <v>0.62668839105242569</v>
      </c>
      <c r="AJ53" s="14">
        <v>0.91141764240030165</v>
      </c>
      <c r="AK53" s="14">
        <v>4.5188655991958147</v>
      </c>
      <c r="AL53" s="14">
        <v>2.3167142650108317</v>
      </c>
      <c r="AM53" s="14">
        <v>48.536853891507782</v>
      </c>
      <c r="AN53" s="14">
        <v>32.142991899311887</v>
      </c>
      <c r="AO53" s="14">
        <v>5.2956078535615099</v>
      </c>
      <c r="AP53" s="14">
        <v>19.815094073905584</v>
      </c>
      <c r="AQ53" s="14">
        <v>218.35540141751989</v>
      </c>
      <c r="AR53" s="14">
        <v>6512.2807722475382</v>
      </c>
      <c r="AS53" s="14">
        <v>5.6756906677318009</v>
      </c>
      <c r="AT53" s="14">
        <v>2.3800781245290197</v>
      </c>
      <c r="AU53" s="14">
        <v>7.3889422493152468</v>
      </c>
      <c r="AV53" s="14">
        <v>3.9641105796151543</v>
      </c>
      <c r="AW53" s="14">
        <v>2.273026611697075</v>
      </c>
      <c r="AX53" s="14">
        <v>2.5537127407498028</v>
      </c>
      <c r="AY53" s="15">
        <f t="shared" si="0"/>
        <v>-817.03671717870293</v>
      </c>
      <c r="AZ53">
        <f t="shared" si="1"/>
        <v>-12.546091695870244</v>
      </c>
    </row>
    <row r="54" spans="1:52" ht="15" thickBot="1" x14ac:dyDescent="0.4">
      <c r="A54" s="46" t="s">
        <v>88</v>
      </c>
      <c r="B54" s="37"/>
      <c r="C54" s="20">
        <v>42</v>
      </c>
      <c r="D54" s="20">
        <v>49.23</v>
      </c>
      <c r="E54" s="20">
        <v>13</v>
      </c>
      <c r="F54" s="21">
        <v>53</v>
      </c>
      <c r="G54" s="4" t="s">
        <v>96</v>
      </c>
      <c r="H54" s="4">
        <v>0.57999999999999996</v>
      </c>
      <c r="I54" s="4">
        <v>13.58</v>
      </c>
      <c r="J54" s="4">
        <v>4.3899999999999997</v>
      </c>
      <c r="K54" s="4">
        <v>49.23</v>
      </c>
      <c r="L54" s="4">
        <v>23.21</v>
      </c>
      <c r="M54" s="4">
        <v>1.26</v>
      </c>
      <c r="N54" s="4">
        <v>0</v>
      </c>
      <c r="O54" s="4">
        <v>0</v>
      </c>
      <c r="P54" s="4">
        <v>0.11</v>
      </c>
      <c r="Q54" s="4">
        <v>6.96</v>
      </c>
      <c r="R54" s="4">
        <v>0</v>
      </c>
      <c r="S54" s="4">
        <v>0</v>
      </c>
      <c r="T54" s="4">
        <v>0</v>
      </c>
      <c r="U54" s="4">
        <v>0</v>
      </c>
      <c r="V54" s="4">
        <v>99.32</v>
      </c>
      <c r="W54" s="14">
        <v>10.962255216922493</v>
      </c>
      <c r="X54" s="14">
        <v>-28.328234847346096</v>
      </c>
      <c r="Y54" s="14">
        <v>658.83126658793537</v>
      </c>
      <c r="Z54" s="14">
        <v>194.8390204930468</v>
      </c>
      <c r="AA54" s="14">
        <v>86.384874779692609</v>
      </c>
      <c r="AB54" s="14">
        <v>10.589771824842318</v>
      </c>
      <c r="AC54" s="14">
        <v>24.561695864918175</v>
      </c>
      <c r="AD54" s="14">
        <v>2.3713772282409007</v>
      </c>
      <c r="AE54" s="14">
        <v>2.6512340013319768</v>
      </c>
      <c r="AF54" s="14">
        <v>7.8345240467207979</v>
      </c>
      <c r="AG54" s="14">
        <v>0.27750565855895726</v>
      </c>
      <c r="AH54" s="14">
        <v>4.2668515684619872E-2</v>
      </c>
      <c r="AI54" s="14">
        <v>0.46100085551147457</v>
      </c>
      <c r="AJ54" s="14">
        <v>0.82522424415309803</v>
      </c>
      <c r="AK54" s="14">
        <v>4.2129195695629598</v>
      </c>
      <c r="AL54" s="14">
        <v>3.0860572382074367</v>
      </c>
      <c r="AM54" s="14">
        <v>59.764344539292793</v>
      </c>
      <c r="AN54" s="14">
        <v>28.526011181502366</v>
      </c>
      <c r="AO54" s="14">
        <v>3.3828629597388211</v>
      </c>
      <c r="AP54" s="14">
        <v>14.717345606449872</v>
      </c>
      <c r="AQ54" s="14">
        <v>100.4893842279464</v>
      </c>
      <c r="AR54" s="14">
        <v>7529.9974251327658</v>
      </c>
      <c r="AS54" s="14">
        <v>3.8171025397487512</v>
      </c>
      <c r="AT54" s="14">
        <v>2.1188809551823318</v>
      </c>
      <c r="AU54" s="14">
        <v>8.497972152057617</v>
      </c>
      <c r="AV54" s="14">
        <v>1.3002776237188922</v>
      </c>
      <c r="AW54" s="14">
        <v>2.9596313561968288</v>
      </c>
      <c r="AX54" s="14">
        <v>1.7636291926054428</v>
      </c>
      <c r="AY54" s="15">
        <f t="shared" si="0"/>
        <v>23.694690011163402</v>
      </c>
      <c r="AZ54">
        <f t="shared" si="1"/>
        <v>0.31467062567747994</v>
      </c>
    </row>
    <row r="55" spans="1:52" ht="15" thickBot="1" x14ac:dyDescent="0.4">
      <c r="A55" s="46" t="s">
        <v>88</v>
      </c>
      <c r="B55" s="37"/>
      <c r="C55" s="20">
        <v>43</v>
      </c>
      <c r="D55" s="20">
        <v>46.08</v>
      </c>
      <c r="E55" s="20">
        <v>13</v>
      </c>
      <c r="F55" s="21">
        <v>54</v>
      </c>
      <c r="G55" s="4" t="s">
        <v>97</v>
      </c>
      <c r="H55" s="4">
        <v>0.7</v>
      </c>
      <c r="I55" s="4">
        <v>11.81</v>
      </c>
      <c r="J55" s="4">
        <v>7.12</v>
      </c>
      <c r="K55" s="4">
        <v>46.08</v>
      </c>
      <c r="L55" s="4">
        <v>22.83</v>
      </c>
      <c r="M55" s="4">
        <v>2.21</v>
      </c>
      <c r="N55" s="4">
        <v>0</v>
      </c>
      <c r="O55" s="4">
        <v>0</v>
      </c>
      <c r="P55" s="4">
        <v>0.16</v>
      </c>
      <c r="Q55" s="4">
        <v>8.43</v>
      </c>
      <c r="R55" s="4">
        <v>0</v>
      </c>
      <c r="S55" s="4">
        <v>0</v>
      </c>
      <c r="T55" s="4">
        <v>0</v>
      </c>
      <c r="U55" s="4">
        <v>0</v>
      </c>
      <c r="V55" s="4">
        <v>99.34</v>
      </c>
      <c r="W55" s="14">
        <v>10.397773324057459</v>
      </c>
      <c r="X55" s="14">
        <v>5.6099862528558543E-3</v>
      </c>
      <c r="Y55" s="14">
        <v>672.91160315322873</v>
      </c>
      <c r="Z55" s="14">
        <v>474.03840859291665</v>
      </c>
      <c r="AA55" s="14">
        <v>324.12471975803373</v>
      </c>
      <c r="AB55" s="14">
        <v>30.621651354432103</v>
      </c>
      <c r="AC55" s="14">
        <v>86.080634329318997</v>
      </c>
      <c r="AD55" s="14">
        <v>6.0501458653472353</v>
      </c>
      <c r="AE55" s="14">
        <v>6.1215365737080578</v>
      </c>
      <c r="AF55" s="14">
        <v>17.046418740436433</v>
      </c>
      <c r="AG55" s="14">
        <v>2.4810103532206265</v>
      </c>
      <c r="AH55" s="14">
        <v>0.20530848906550089</v>
      </c>
      <c r="AI55" s="14">
        <v>2.2258035514969379</v>
      </c>
      <c r="AJ55" s="14">
        <v>2.2074619415178893</v>
      </c>
      <c r="AK55" s="14">
        <v>12.465448040217161</v>
      </c>
      <c r="AL55" s="14">
        <v>8.3672285946429135</v>
      </c>
      <c r="AM55" s="14">
        <v>200.40141640555859</v>
      </c>
      <c r="AN55" s="14">
        <v>140.32442531919477</v>
      </c>
      <c r="AO55" s="14">
        <v>11.732067409411556</v>
      </c>
      <c r="AP55" s="14">
        <v>43.115476035298791</v>
      </c>
      <c r="AQ55" s="14">
        <v>163.64228138923644</v>
      </c>
      <c r="AR55" s="14">
        <v>13882.14407043457</v>
      </c>
      <c r="AS55" s="14">
        <v>4.3735178515589448</v>
      </c>
      <c r="AT55" s="14">
        <v>3.3295910734925798</v>
      </c>
      <c r="AU55" s="14">
        <v>25.186230918926444</v>
      </c>
      <c r="AV55" s="14">
        <v>2.1344240392014964</v>
      </c>
      <c r="AW55" s="14">
        <v>7.817837738781706</v>
      </c>
      <c r="AX55" s="14">
        <v>4.4447852792346501</v>
      </c>
      <c r="AY55" s="15">
        <f t="shared" si="0"/>
        <v>-633.20790022180518</v>
      </c>
      <c r="AZ55">
        <f t="shared" si="1"/>
        <v>-4.5613119775235349</v>
      </c>
    </row>
    <row r="56" spans="1:52" ht="15" thickBot="1" x14ac:dyDescent="0.4">
      <c r="A56" s="46" t="s">
        <v>88</v>
      </c>
      <c r="B56" s="41"/>
      <c r="C56" s="23">
        <v>44</v>
      </c>
      <c r="D56" s="23">
        <v>44.39</v>
      </c>
      <c r="E56" s="23">
        <v>13</v>
      </c>
      <c r="F56" s="24">
        <v>55</v>
      </c>
      <c r="G56" s="4" t="s">
        <v>98</v>
      </c>
      <c r="H56" s="4">
        <v>0.9</v>
      </c>
      <c r="I56" s="4">
        <v>10.45</v>
      </c>
      <c r="J56" s="4">
        <v>8.1</v>
      </c>
      <c r="K56" s="4">
        <v>44.39</v>
      </c>
      <c r="L56" s="4">
        <v>22.52</v>
      </c>
      <c r="M56" s="4">
        <v>2.95</v>
      </c>
      <c r="N56" s="4">
        <v>0</v>
      </c>
      <c r="O56" s="4">
        <v>0</v>
      </c>
      <c r="P56" s="4">
        <v>0.18</v>
      </c>
      <c r="Q56" s="4">
        <v>9.3699999999999992</v>
      </c>
      <c r="R56" s="4">
        <v>0</v>
      </c>
      <c r="S56" s="4">
        <v>0</v>
      </c>
      <c r="T56" s="4">
        <v>0</v>
      </c>
      <c r="U56" s="4">
        <v>0.04</v>
      </c>
      <c r="V56" s="4">
        <v>98.9</v>
      </c>
      <c r="W56" s="14">
        <v>10.57176386716467</v>
      </c>
      <c r="X56" s="14">
        <v>3.4170418253343398</v>
      </c>
      <c r="Y56" s="14">
        <v>1058.4147905810626</v>
      </c>
      <c r="Z56" s="14">
        <v>737.55118202709946</v>
      </c>
      <c r="AA56" s="14">
        <v>406.86907562772745</v>
      </c>
      <c r="AB56" s="14">
        <v>31.645296925825825</v>
      </c>
      <c r="AC56" s="14">
        <v>104.3040318206621</v>
      </c>
      <c r="AD56" s="14">
        <v>7.1039523225882295</v>
      </c>
      <c r="AE56" s="14">
        <v>6.9371177818556022</v>
      </c>
      <c r="AF56" s="14">
        <v>23.842588874141658</v>
      </c>
      <c r="AG56" s="14">
        <v>5.4441135424145246</v>
      </c>
      <c r="AH56" s="14">
        <v>0.48420264067912966</v>
      </c>
      <c r="AI56" s="14">
        <v>4.4800115959813418</v>
      </c>
      <c r="AJ56" s="14">
        <v>2.4272176560119987</v>
      </c>
      <c r="AK56" s="14">
        <v>13.321877186461615</v>
      </c>
      <c r="AL56" s="14">
        <v>9.3993514802375326</v>
      </c>
      <c r="AM56" s="14">
        <v>232.86445228021384</v>
      </c>
      <c r="AN56" s="14">
        <v>199.79201547091225</v>
      </c>
      <c r="AO56" s="14">
        <v>34.246201787821178</v>
      </c>
      <c r="AP56" s="14">
        <v>45.584876887686505</v>
      </c>
      <c r="AQ56" s="14">
        <v>210.94489864462616</v>
      </c>
      <c r="AR56" s="14">
        <v>19000.306670236288</v>
      </c>
      <c r="AS56" s="14">
        <v>6.216563123083886</v>
      </c>
      <c r="AT56" s="14">
        <v>3.9276942447420189</v>
      </c>
      <c r="AU56" s="14">
        <v>28.511766037128517</v>
      </c>
      <c r="AV56" s="14">
        <v>2.4111547616389717</v>
      </c>
      <c r="AW56" s="14">
        <v>8.8104897398798805</v>
      </c>
      <c r="AX56" s="14">
        <v>5.2947547611463071</v>
      </c>
      <c r="AY56" s="15">
        <f>M56*47.9*10000/(47.9+32)-AR56</f>
        <v>-1315.0751308120089</v>
      </c>
      <c r="AZ56">
        <f t="shared" si="1"/>
        <v>-6.9213363428078525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77"/>
  <sheetViews>
    <sheetView zoomScale="70" zoomScaleNormal="70" workbookViewId="0">
      <selection activeCell="B2" sqref="B2"/>
    </sheetView>
  </sheetViews>
  <sheetFormatPr defaultRowHeight="14.5" x14ac:dyDescent="0.35"/>
  <cols>
    <col min="16" max="16" width="11.26953125" style="54" bestFit="1" customWidth="1"/>
    <col min="17" max="22" width="10.26953125" style="54" bestFit="1" customWidth="1"/>
    <col min="23" max="23" width="9.26953125" style="54" bestFit="1" customWidth="1"/>
    <col min="24" max="24" width="10.26953125" style="54" bestFit="1" customWidth="1"/>
    <col min="25" max="25" width="11.26953125" style="54" bestFit="1" customWidth="1"/>
  </cols>
  <sheetData>
    <row r="1" spans="1:25" x14ac:dyDescent="0.35">
      <c r="A1" s="64" t="s">
        <v>131</v>
      </c>
      <c r="B1" s="64" t="s">
        <v>137</v>
      </c>
      <c r="C1" s="64" t="s">
        <v>138</v>
      </c>
      <c r="D1" s="64" t="s">
        <v>124</v>
      </c>
      <c r="E1" s="64" t="s">
        <v>139</v>
      </c>
      <c r="F1" s="64" t="s">
        <v>140</v>
      </c>
      <c r="G1" s="64" t="s">
        <v>141</v>
      </c>
      <c r="H1" s="64" t="s">
        <v>142</v>
      </c>
      <c r="I1" s="64" t="s">
        <v>125</v>
      </c>
      <c r="J1" s="64" t="s">
        <v>143</v>
      </c>
      <c r="K1" s="64" t="s">
        <v>126</v>
      </c>
      <c r="L1" s="64" t="s">
        <v>144</v>
      </c>
      <c r="M1" s="64" t="s">
        <v>127</v>
      </c>
      <c r="N1" s="64" t="s">
        <v>145</v>
      </c>
      <c r="O1" s="64" t="s">
        <v>146</v>
      </c>
      <c r="P1" s="13"/>
      <c r="Q1" s="13"/>
      <c r="R1" s="13"/>
      <c r="S1" s="13"/>
      <c r="T1" s="13"/>
      <c r="U1" s="13"/>
      <c r="V1" s="13"/>
      <c r="W1" s="13"/>
      <c r="X1" s="13"/>
      <c r="Y1" s="13"/>
    </row>
    <row r="2" spans="1:25" x14ac:dyDescent="0.35">
      <c r="A2" s="65"/>
      <c r="B2" s="65">
        <v>0.23699999999999999</v>
      </c>
      <c r="C2" s="65">
        <v>0.61199999999999999</v>
      </c>
      <c r="D2" s="65">
        <v>9.5000000000000001E-2</v>
      </c>
      <c r="E2" s="65">
        <v>0.46700000000000003</v>
      </c>
      <c r="F2" s="65">
        <v>0.153</v>
      </c>
      <c r="G2" s="65">
        <v>5.8000000000000003E-2</v>
      </c>
      <c r="H2" s="65">
        <v>0.20549999999999999</v>
      </c>
      <c r="I2" s="65">
        <v>3.7400000000000003E-2</v>
      </c>
      <c r="J2" s="65">
        <v>0.254</v>
      </c>
      <c r="K2" s="65">
        <v>5.6599999999999998E-2</v>
      </c>
      <c r="L2" s="65">
        <v>0.16550000000000001</v>
      </c>
      <c r="M2" s="65">
        <v>2.5499999999999998E-2</v>
      </c>
      <c r="N2" s="65">
        <v>0.17</v>
      </c>
      <c r="O2" s="65">
        <v>2.5399999999999999E-2</v>
      </c>
      <c r="R2" s="60"/>
      <c r="S2" s="60"/>
      <c r="T2" s="60"/>
      <c r="U2" s="60"/>
      <c r="V2" s="60"/>
      <c r="Y2" s="60"/>
    </row>
    <row r="3" spans="1:25" x14ac:dyDescent="0.35">
      <c r="A3" s="58">
        <v>15</v>
      </c>
      <c r="B3" s="60">
        <v>1034.0432071935832</v>
      </c>
      <c r="C3" s="60">
        <v>1781.6996191126852</v>
      </c>
      <c r="E3" s="60">
        <v>476.37131147665627</v>
      </c>
      <c r="F3" s="60">
        <v>45.304598652443381</v>
      </c>
      <c r="G3" s="60">
        <v>11.094916449023792</v>
      </c>
      <c r="H3" s="60">
        <v>54.955624703023382</v>
      </c>
      <c r="J3" s="60">
        <v>16.599864342366985</v>
      </c>
      <c r="K3" s="60">
        <v>3.0645660389353289</v>
      </c>
      <c r="L3" s="60">
        <v>7.8238434246737141</v>
      </c>
      <c r="N3" s="60">
        <v>3.507949109204775</v>
      </c>
      <c r="R3" s="60"/>
      <c r="S3" s="60"/>
      <c r="T3" s="60"/>
      <c r="U3" s="60"/>
      <c r="V3" s="60"/>
      <c r="Y3" s="60"/>
    </row>
    <row r="4" spans="1:25" x14ac:dyDescent="0.35">
      <c r="A4" s="58">
        <v>16</v>
      </c>
      <c r="B4" s="60">
        <v>245.31856585574891</v>
      </c>
      <c r="C4" s="60">
        <v>596.78776055999094</v>
      </c>
      <c r="E4" s="60">
        <v>278.86423008937015</v>
      </c>
      <c r="F4" s="60">
        <v>38.624636884219939</v>
      </c>
      <c r="G4" s="60">
        <v>10.390674857176128</v>
      </c>
      <c r="H4" s="60">
        <v>24.219736577084486</v>
      </c>
      <c r="J4" s="60">
        <v>12.988554168397094</v>
      </c>
      <c r="K4" s="60">
        <v>2.5745193142094647</v>
      </c>
      <c r="L4" s="60">
        <v>4.9377902596776977</v>
      </c>
      <c r="N4" s="60">
        <v>4.4451113595983278</v>
      </c>
      <c r="R4" s="60"/>
      <c r="S4" s="60"/>
      <c r="T4" s="60"/>
      <c r="U4" s="60"/>
      <c r="V4" s="60"/>
      <c r="Y4" s="60"/>
    </row>
    <row r="5" spans="1:25" x14ac:dyDescent="0.35">
      <c r="A5" s="58">
        <v>20</v>
      </c>
      <c r="B5" s="60">
        <v>73.503710467408879</v>
      </c>
      <c r="C5" s="60">
        <v>233.62537913185076</v>
      </c>
      <c r="E5" s="60">
        <v>175.72798906482384</v>
      </c>
      <c r="F5" s="60">
        <v>40.419738142850107</v>
      </c>
      <c r="G5" s="60">
        <v>11.377122074983539</v>
      </c>
      <c r="H5" s="60">
        <v>33.449854362979792</v>
      </c>
      <c r="J5" s="60">
        <v>20.632013321700736</v>
      </c>
      <c r="K5" s="60">
        <v>3.7600848558268045</v>
      </c>
      <c r="L5" s="60">
        <v>9.9458186181965242</v>
      </c>
      <c r="N5" s="60">
        <v>5.9405549000827005</v>
      </c>
      <c r="R5" s="60"/>
      <c r="S5" s="60"/>
      <c r="T5" s="60"/>
      <c r="U5" s="60"/>
      <c r="V5" s="60"/>
      <c r="Y5" s="60"/>
    </row>
    <row r="6" spans="1:25" x14ac:dyDescent="0.35">
      <c r="A6" s="58">
        <v>21</v>
      </c>
      <c r="B6" s="60">
        <v>119.25221274887771</v>
      </c>
      <c r="C6" s="60">
        <v>419.29094165839257</v>
      </c>
      <c r="E6" s="60">
        <v>250.70072491292285</v>
      </c>
      <c r="F6" s="60">
        <v>30.735235402383843</v>
      </c>
      <c r="G6" s="60">
        <v>6.9827542420143454</v>
      </c>
      <c r="H6" s="60">
        <v>17.747185602838627</v>
      </c>
      <c r="J6" s="60">
        <v>9.5774579544696028</v>
      </c>
      <c r="K6" s="60">
        <v>1.7153425996906593</v>
      </c>
      <c r="L6" s="60">
        <v>3.7546304928749459</v>
      </c>
      <c r="N6" s="60">
        <v>1.4955915808694606</v>
      </c>
      <c r="R6" s="60"/>
      <c r="S6" s="60"/>
      <c r="T6" s="60"/>
      <c r="U6" s="60"/>
      <c r="V6" s="60"/>
      <c r="Y6" s="60"/>
    </row>
    <row r="7" spans="1:25" x14ac:dyDescent="0.35">
      <c r="A7" s="31">
        <v>26</v>
      </c>
      <c r="B7" s="60">
        <v>110.41767953797338</v>
      </c>
      <c r="C7" s="60">
        <v>278.01963989700192</v>
      </c>
      <c r="E7" s="60">
        <v>226.77414636809749</v>
      </c>
      <c r="F7" s="60">
        <v>107.00869074994699</v>
      </c>
      <c r="G7" s="60">
        <v>43.214540826827239</v>
      </c>
      <c r="H7" s="60">
        <v>130.54156033306828</v>
      </c>
      <c r="J7" s="60">
        <v>202.14862054925413</v>
      </c>
      <c r="K7" s="60">
        <v>45.97545715132636</v>
      </c>
      <c r="L7" s="60">
        <v>155.23531975734346</v>
      </c>
      <c r="N7" s="60">
        <v>139.9222918506949</v>
      </c>
      <c r="R7" s="60"/>
      <c r="S7" s="60"/>
      <c r="T7" s="60"/>
      <c r="U7" s="60"/>
      <c r="V7" s="60"/>
      <c r="Y7" s="60"/>
    </row>
    <row r="8" spans="1:25" x14ac:dyDescent="0.35">
      <c r="A8" s="31">
        <v>27</v>
      </c>
      <c r="B8" s="60">
        <v>119.88283786983322</v>
      </c>
      <c r="C8" s="60">
        <v>462.66891528669743</v>
      </c>
      <c r="E8" s="60">
        <v>431.01759634610164</v>
      </c>
      <c r="F8" s="60">
        <v>88.85083938788739</v>
      </c>
      <c r="G8" s="60">
        <v>25.776979211956146</v>
      </c>
      <c r="H8" s="60">
        <v>64.999970792490473</v>
      </c>
      <c r="J8" s="60">
        <v>52.944555754531173</v>
      </c>
      <c r="K8" s="60">
        <v>10.310294941626372</v>
      </c>
      <c r="L8" s="60">
        <v>28.493281066781584</v>
      </c>
      <c r="N8" s="60">
        <v>25.399655718232992</v>
      </c>
      <c r="R8" s="60"/>
      <c r="S8" s="60"/>
      <c r="T8" s="60"/>
      <c r="U8" s="60"/>
      <c r="V8" s="60"/>
      <c r="Y8" s="60"/>
    </row>
    <row r="9" spans="1:25" x14ac:dyDescent="0.35">
      <c r="A9" s="31">
        <v>28</v>
      </c>
      <c r="B9" s="60">
        <v>112.27071403716133</v>
      </c>
      <c r="C9" s="60">
        <v>484.68148488605391</v>
      </c>
      <c r="E9" s="60">
        <v>434.37781446205076</v>
      </c>
      <c r="F9" s="60">
        <v>85.743796041939632</v>
      </c>
      <c r="G9" s="60">
        <v>24.524151313372514</v>
      </c>
      <c r="H9" s="60">
        <v>63.023772136327381</v>
      </c>
      <c r="J9" s="60">
        <v>54.334172062772794</v>
      </c>
      <c r="K9" s="60">
        <v>11.340020836551789</v>
      </c>
      <c r="L9" s="60">
        <v>33.61861251113146</v>
      </c>
      <c r="N9" s="60">
        <v>29.651319432565263</v>
      </c>
      <c r="R9" s="60"/>
      <c r="S9" s="60"/>
      <c r="T9" s="60"/>
      <c r="U9" s="60"/>
      <c r="V9" s="60"/>
      <c r="Y9" s="60"/>
    </row>
    <row r="10" spans="1:25" x14ac:dyDescent="0.35">
      <c r="A10" s="18">
        <v>32</v>
      </c>
      <c r="B10" s="60">
        <v>128.8446383922994</v>
      </c>
      <c r="C10" s="60">
        <v>566.8652939191461</v>
      </c>
      <c r="E10" s="60">
        <v>533.37701452587919</v>
      </c>
      <c r="F10" s="60">
        <v>108.79518897570669</v>
      </c>
      <c r="G10" s="60">
        <v>30.423667531254182</v>
      </c>
      <c r="H10" s="60">
        <v>65.263657404881798</v>
      </c>
      <c r="J10" s="60">
        <v>47.43947275334969</v>
      </c>
      <c r="K10" s="60">
        <v>8.8715454145995896</v>
      </c>
      <c r="L10" s="60">
        <v>21.436387462238098</v>
      </c>
      <c r="N10" s="60">
        <v>17.344705380384639</v>
      </c>
      <c r="R10" s="60"/>
      <c r="S10" s="60"/>
      <c r="T10" s="60"/>
      <c r="U10" s="60"/>
      <c r="V10" s="60"/>
      <c r="Y10" s="60"/>
    </row>
    <row r="11" spans="1:25" x14ac:dyDescent="0.35">
      <c r="A11" s="18">
        <v>33</v>
      </c>
      <c r="B11" s="60">
        <v>177.52119781431836</v>
      </c>
      <c r="C11" s="60">
        <v>785.60467377193277</v>
      </c>
      <c r="E11" s="60">
        <v>651.27021730206354</v>
      </c>
      <c r="F11" s="60">
        <v>124.46545294816606</v>
      </c>
      <c r="G11" s="60">
        <v>32.414095791150892</v>
      </c>
      <c r="H11" s="60">
        <v>68.982308775081108</v>
      </c>
      <c r="J11" s="60">
        <v>69.634281817551937</v>
      </c>
      <c r="K11" s="60">
        <v>14.196713472903008</v>
      </c>
      <c r="L11" s="60">
        <v>41.910994078632193</v>
      </c>
      <c r="N11" s="60">
        <v>36.235466209791532</v>
      </c>
      <c r="R11" s="60"/>
      <c r="S11" s="60"/>
      <c r="T11" s="60"/>
      <c r="U11" s="60"/>
      <c r="V11" s="60"/>
      <c r="Y11" s="60"/>
    </row>
    <row r="12" spans="1:25" x14ac:dyDescent="0.35">
      <c r="A12" s="20">
        <v>44</v>
      </c>
      <c r="B12" s="60">
        <v>66.154721986994147</v>
      </c>
      <c r="C12" s="60">
        <v>168.53461415307598</v>
      </c>
      <c r="E12" s="60">
        <v>86.468565372961109</v>
      </c>
      <c r="F12" s="60">
        <v>11.092044498393079</v>
      </c>
      <c r="G12" s="60">
        <v>2.9045034182344542</v>
      </c>
      <c r="H12" s="60">
        <v>8.8532852243972169</v>
      </c>
      <c r="J12" s="60">
        <v>5.5091964499893953</v>
      </c>
      <c r="K12" s="60">
        <v>1.0660737715018331</v>
      </c>
      <c r="L12" s="60">
        <v>2.7028237840412119</v>
      </c>
      <c r="N12" s="60">
        <v>1.3616187809311537</v>
      </c>
      <c r="R12" s="60"/>
      <c r="S12" s="60"/>
      <c r="T12" s="60"/>
      <c r="U12" s="60"/>
      <c r="V12" s="60"/>
      <c r="Y12" s="60"/>
    </row>
    <row r="13" spans="1:25" x14ac:dyDescent="0.35">
      <c r="A13" s="20">
        <v>45</v>
      </c>
      <c r="B13" s="60">
        <v>79.8349099774249</v>
      </c>
      <c r="C13" s="60">
        <v>152.16439452415332</v>
      </c>
      <c r="E13" s="60">
        <v>68.285755186735884</v>
      </c>
      <c r="F13" s="60">
        <v>8.9608947709974007</v>
      </c>
      <c r="G13" s="60">
        <v>2.2695312794472464</v>
      </c>
      <c r="H13" s="60">
        <v>5.8044676466873906</v>
      </c>
      <c r="J13" s="60">
        <v>4.8853062333362756</v>
      </c>
      <c r="K13" s="60">
        <v>0.99705083802365679</v>
      </c>
      <c r="L13" s="60">
        <v>3.2737241240706965</v>
      </c>
      <c r="N13" s="60">
        <v>2.2049916424932752</v>
      </c>
      <c r="R13" s="60"/>
      <c r="S13" s="60"/>
      <c r="T13" s="60"/>
      <c r="U13" s="60"/>
      <c r="V13" s="60"/>
      <c r="Y13" s="60"/>
    </row>
    <row r="14" spans="1:25" x14ac:dyDescent="0.35">
      <c r="A14" s="29">
        <v>15</v>
      </c>
      <c r="B14" s="60">
        <v>86.945288026991776</v>
      </c>
      <c r="C14" s="60">
        <v>422.25810224938203</v>
      </c>
      <c r="E14" s="60">
        <v>391.58211307296256</v>
      </c>
      <c r="F14" s="60">
        <v>69.428905847616264</v>
      </c>
      <c r="G14" s="60">
        <v>18.7854988849028</v>
      </c>
      <c r="H14" s="60">
        <v>44.003416221977218</v>
      </c>
      <c r="J14" s="60">
        <v>30.61524665520189</v>
      </c>
      <c r="K14" s="60">
        <v>5.4273051139209425</v>
      </c>
      <c r="L14" s="60">
        <v>12.017833227131597</v>
      </c>
      <c r="N14" s="60">
        <v>7.4592620858903711</v>
      </c>
      <c r="R14" s="60"/>
      <c r="S14" s="60"/>
      <c r="T14" s="60"/>
      <c r="U14" s="60"/>
      <c r="V14" s="60"/>
      <c r="Y14" s="60"/>
    </row>
    <row r="15" spans="1:25" x14ac:dyDescent="0.35">
      <c r="A15" s="29">
        <v>17</v>
      </c>
      <c r="B15" s="60">
        <v>22.979261190341553</v>
      </c>
      <c r="C15" s="60">
        <v>80.559282589629291</v>
      </c>
      <c r="E15" s="60">
        <v>74.6914464478253</v>
      </c>
      <c r="F15" s="60">
        <v>13.092619982769248</v>
      </c>
      <c r="G15" s="60">
        <v>3.5190588798676781</v>
      </c>
      <c r="H15" s="60">
        <v>7.5139896870032343</v>
      </c>
      <c r="J15" s="60">
        <v>4.9551233819740741</v>
      </c>
      <c r="K15" s="60">
        <v>0.94728371322770555</v>
      </c>
      <c r="L15" s="60">
        <v>2.5563113452390898</v>
      </c>
      <c r="N15" s="60">
        <v>1.5352521620334332</v>
      </c>
      <c r="R15" s="60"/>
      <c r="S15" s="60"/>
      <c r="T15" s="60"/>
      <c r="U15" s="60"/>
      <c r="V15" s="60"/>
      <c r="Y15" s="60"/>
    </row>
    <row r="16" spans="1:25" x14ac:dyDescent="0.35">
      <c r="A16" s="62">
        <v>1</v>
      </c>
      <c r="B16" s="60">
        <v>125.31860693905502</v>
      </c>
      <c r="C16" s="60">
        <v>309.91077120043337</v>
      </c>
      <c r="E16" s="60">
        <v>209.81588881577363</v>
      </c>
      <c r="F16" s="60">
        <v>50.105501550540787</v>
      </c>
      <c r="G16" s="60">
        <v>17.324153251805051</v>
      </c>
      <c r="H16" s="60">
        <v>44.286033543697656</v>
      </c>
      <c r="J16" s="60">
        <v>54.47767916730372</v>
      </c>
      <c r="K16" s="60">
        <v>11.057827124276663</v>
      </c>
      <c r="L16" s="60">
        <v>35.062822005733658</v>
      </c>
      <c r="N16" s="60">
        <v>38.244046994115202</v>
      </c>
      <c r="R16" s="60"/>
      <c r="S16" s="60"/>
      <c r="T16" s="60"/>
      <c r="U16" s="60"/>
      <c r="V16" s="60"/>
      <c r="Y16" s="60"/>
    </row>
    <row r="17" spans="1:25" x14ac:dyDescent="0.35">
      <c r="A17" s="62">
        <v>3</v>
      </c>
      <c r="B17" s="60">
        <v>12.940778929803638</v>
      </c>
      <c r="C17" s="60">
        <v>42.910361112890534</v>
      </c>
      <c r="E17" s="60">
        <v>35.28765680011368</v>
      </c>
      <c r="F17" s="60">
        <v>8.4448084874718923</v>
      </c>
      <c r="G17" s="60">
        <v>2.7112020428049135</v>
      </c>
      <c r="H17" s="60">
        <v>8.9852694047939217</v>
      </c>
      <c r="J17" s="60">
        <v>7.3250580360149913</v>
      </c>
      <c r="K17" s="60">
        <v>1.596098717514091</v>
      </c>
      <c r="L17" s="60">
        <v>4.2012499560252339</v>
      </c>
      <c r="N17" s="60">
        <v>3.5460610155280268</v>
      </c>
      <c r="R17" s="60"/>
      <c r="S17" s="60"/>
      <c r="T17" s="60"/>
      <c r="U17" s="60"/>
      <c r="V17" s="60"/>
      <c r="Y17" s="60"/>
    </row>
    <row r="18" spans="1:25" x14ac:dyDescent="0.35">
      <c r="A18" s="18">
        <v>11</v>
      </c>
      <c r="B18" s="60">
        <v>170.50922651174014</v>
      </c>
      <c r="C18" s="60">
        <v>514.39340935215353</v>
      </c>
      <c r="E18" s="60">
        <v>386.36411137276423</v>
      </c>
      <c r="F18" s="60">
        <v>109.17763944052858</v>
      </c>
      <c r="G18" s="60">
        <v>36.098421385178739</v>
      </c>
      <c r="H18" s="60">
        <v>116.5361617745488</v>
      </c>
      <c r="J18" s="60">
        <v>97.341863785017281</v>
      </c>
      <c r="K18" s="60">
        <v>20.60946416517254</v>
      </c>
      <c r="L18" s="60">
        <v>62.837153948880214</v>
      </c>
      <c r="N18" s="60">
        <v>48.694134539068564</v>
      </c>
      <c r="R18" s="60"/>
      <c r="S18" s="60"/>
      <c r="T18" s="60"/>
      <c r="U18" s="60"/>
      <c r="V18" s="60"/>
      <c r="Y18" s="60"/>
    </row>
    <row r="19" spans="1:25" x14ac:dyDescent="0.35">
      <c r="A19" s="18">
        <v>12</v>
      </c>
      <c r="B19" s="60">
        <v>158.46151372518486</v>
      </c>
      <c r="C19" s="60">
        <v>482.81437159881932</v>
      </c>
      <c r="E19" s="60">
        <v>417.00786390907967</v>
      </c>
      <c r="F19" s="60">
        <v>126.78159503577045</v>
      </c>
      <c r="G19" s="60">
        <v>47.265159594838586</v>
      </c>
      <c r="H19" s="60">
        <v>130.2232103098323</v>
      </c>
      <c r="J19" s="60">
        <v>143.08908863510192</v>
      </c>
      <c r="K19" s="60">
        <v>29.540593302215452</v>
      </c>
      <c r="L19" s="60">
        <v>86.609530905303473</v>
      </c>
      <c r="N19" s="60">
        <v>78.436417520411837</v>
      </c>
      <c r="R19" s="60"/>
      <c r="S19" s="60"/>
      <c r="T19" s="60"/>
      <c r="U19" s="60"/>
      <c r="V19" s="60"/>
      <c r="Y19" s="60"/>
    </row>
    <row r="20" spans="1:25" x14ac:dyDescent="0.35">
      <c r="A20" s="18">
        <v>13</v>
      </c>
      <c r="B20" s="60">
        <v>350.47007029655953</v>
      </c>
      <c r="C20" s="60">
        <v>584.04861464772375</v>
      </c>
      <c r="E20" s="60">
        <v>291.54754280361067</v>
      </c>
      <c r="F20" s="60">
        <v>80.434363362798464</v>
      </c>
      <c r="G20" s="60">
        <v>28.595385659198634</v>
      </c>
      <c r="H20" s="60">
        <v>75.680525968323863</v>
      </c>
      <c r="J20" s="60">
        <v>81.493515299188445</v>
      </c>
      <c r="K20" s="60">
        <v>16.950912866123019</v>
      </c>
      <c r="L20" s="60">
        <v>52.396860060552136</v>
      </c>
      <c r="N20" s="60">
        <v>56.248096150880549</v>
      </c>
      <c r="R20" s="60"/>
      <c r="S20" s="60"/>
      <c r="T20" s="60"/>
      <c r="U20" s="60"/>
      <c r="V20" s="60"/>
      <c r="Y20" s="60"/>
    </row>
    <row r="21" spans="1:25" x14ac:dyDescent="0.35">
      <c r="A21" s="18">
        <v>14</v>
      </c>
      <c r="B21" s="60">
        <v>65.668437229854987</v>
      </c>
      <c r="C21" s="60">
        <v>175.24994416812436</v>
      </c>
      <c r="E21" s="60">
        <v>127.7134364488721</v>
      </c>
      <c r="F21" s="60">
        <v>32.299502838926855</v>
      </c>
      <c r="G21" s="60">
        <v>10.300473221024752</v>
      </c>
      <c r="H21" s="60">
        <v>30.165666915334025</v>
      </c>
      <c r="J21" s="60">
        <v>30.827835037596525</v>
      </c>
      <c r="K21" s="60">
        <v>6.2820708267842429</v>
      </c>
      <c r="L21" s="60">
        <v>20.182741821211103</v>
      </c>
      <c r="N21" s="60">
        <v>21.292759061794683</v>
      </c>
      <c r="R21" s="60"/>
      <c r="S21" s="60"/>
      <c r="T21" s="60"/>
      <c r="U21" s="60"/>
      <c r="V21" s="60"/>
      <c r="Y21" s="60"/>
    </row>
    <row r="22" spans="1:25" x14ac:dyDescent="0.35">
      <c r="A22" s="20">
        <v>16</v>
      </c>
      <c r="B22" s="60">
        <v>123.35784940936045</v>
      </c>
      <c r="C22" s="60">
        <v>387.62675944056366</v>
      </c>
      <c r="E22" s="60">
        <v>310.99155938331597</v>
      </c>
      <c r="F22" s="60">
        <v>95.506861315062267</v>
      </c>
      <c r="G22" s="60">
        <v>31.34684601876463</v>
      </c>
      <c r="H22" s="60">
        <v>92.570539968442645</v>
      </c>
      <c r="J22" s="60">
        <v>87.725784584077076</v>
      </c>
      <c r="K22" s="60">
        <v>17.87278066147864</v>
      </c>
      <c r="L22" s="60">
        <v>51.154896292427424</v>
      </c>
      <c r="N22" s="60">
        <v>45.535683237695459</v>
      </c>
      <c r="R22" s="60"/>
      <c r="S22" s="60"/>
      <c r="T22" s="60"/>
      <c r="U22" s="60"/>
      <c r="V22" s="60"/>
      <c r="Y22" s="60"/>
    </row>
    <row r="23" spans="1:25" x14ac:dyDescent="0.35">
      <c r="A23" s="20">
        <v>17</v>
      </c>
      <c r="B23" s="60">
        <v>111.9229908287823</v>
      </c>
      <c r="C23" s="60">
        <v>318.16056673675774</v>
      </c>
      <c r="E23" s="60">
        <v>195.82580642758685</v>
      </c>
      <c r="F23" s="60">
        <v>42.130248784739521</v>
      </c>
      <c r="G23" s="60">
        <v>12.975295183424061</v>
      </c>
      <c r="H23" s="60">
        <v>37.624718941633915</v>
      </c>
      <c r="J23" s="60">
        <v>36.520774364456535</v>
      </c>
      <c r="K23" s="60">
        <v>7.3478148678531863</v>
      </c>
      <c r="L23" s="60">
        <v>22.883520945474217</v>
      </c>
      <c r="N23" s="60">
        <v>19.873483039877911</v>
      </c>
      <c r="R23" s="60"/>
      <c r="S23" s="60"/>
      <c r="T23" s="60"/>
      <c r="U23" s="60"/>
      <c r="V23" s="60"/>
      <c r="Y23" s="60"/>
    </row>
    <row r="24" spans="1:25" x14ac:dyDescent="0.35">
      <c r="A24" s="29">
        <v>1</v>
      </c>
      <c r="B24" s="60">
        <v>55.22743906133249</v>
      </c>
      <c r="C24" s="60">
        <v>217.3070381519571</v>
      </c>
      <c r="E24" s="60">
        <v>303.05698668173704</v>
      </c>
      <c r="F24" s="60">
        <v>167.31713395696133</v>
      </c>
      <c r="G24" s="60">
        <v>74.663187376451788</v>
      </c>
      <c r="H24" s="60">
        <v>260.0130346993638</v>
      </c>
      <c r="J24" s="60">
        <v>428.42099316343666</v>
      </c>
      <c r="K24" s="60">
        <v>97.564129696480919</v>
      </c>
      <c r="L24" s="60">
        <v>329.30005679411795</v>
      </c>
      <c r="N24" s="60">
        <v>318.92861565478432</v>
      </c>
      <c r="R24" s="60"/>
      <c r="S24" s="60"/>
      <c r="T24" s="60"/>
      <c r="U24" s="60"/>
      <c r="V24" s="60"/>
      <c r="Y24" s="60"/>
    </row>
    <row r="25" spans="1:25" x14ac:dyDescent="0.35">
      <c r="A25" s="29">
        <v>2</v>
      </c>
      <c r="B25" s="60">
        <v>45.10660106699774</v>
      </c>
      <c r="C25" s="60">
        <v>282.15098201489076</v>
      </c>
      <c r="E25" s="60">
        <v>344.69828883364329</v>
      </c>
      <c r="F25" s="60">
        <v>88.127255795034586</v>
      </c>
      <c r="G25" s="60">
        <v>25.595278437061879</v>
      </c>
      <c r="H25" s="60">
        <v>82.234482412201316</v>
      </c>
      <c r="J25" s="60">
        <v>59.564952260435561</v>
      </c>
      <c r="K25" s="60">
        <v>11.541218494981528</v>
      </c>
      <c r="L25" s="60">
        <v>32.908535872833816</v>
      </c>
      <c r="N25" s="60">
        <v>21.948698695302109</v>
      </c>
      <c r="R25" s="60"/>
      <c r="S25" s="60"/>
      <c r="T25" s="60"/>
      <c r="U25" s="60"/>
      <c r="V25" s="60"/>
      <c r="Y25" s="60"/>
    </row>
    <row r="26" spans="1:25" x14ac:dyDescent="0.35">
      <c r="A26" s="31">
        <v>25</v>
      </c>
      <c r="B26" s="60">
        <v>39.873802133768329</v>
      </c>
      <c r="C26" s="60">
        <v>172.23304263779428</v>
      </c>
      <c r="E26" s="60">
        <v>288.42039069373624</v>
      </c>
      <c r="F26" s="60">
        <v>204.58702309092041</v>
      </c>
      <c r="G26" s="60">
        <v>94.672836727755666</v>
      </c>
      <c r="H26" s="60">
        <v>366.66404456967075</v>
      </c>
      <c r="J26" s="60">
        <v>618.74000660888851</v>
      </c>
      <c r="K26" s="60">
        <v>140.11129009469414</v>
      </c>
      <c r="L26" s="60">
        <v>500.36581106473687</v>
      </c>
      <c r="N26" s="60">
        <v>528.36255341039339</v>
      </c>
    </row>
    <row r="28" spans="1:25" s="67" customFormat="1" x14ac:dyDescent="0.35">
      <c r="A28" s="58">
        <v>15</v>
      </c>
      <c r="B28" s="67">
        <f>B3/B$2</f>
        <v>4363.0515071459204</v>
      </c>
      <c r="C28" s="67">
        <f>C3/C$2</f>
        <v>2911.2738874390284</v>
      </c>
      <c r="E28" s="67">
        <f>E3/E$2</f>
        <v>1020.0670481298849</v>
      </c>
      <c r="F28" s="67">
        <f>F3/F$2</f>
        <v>296.10848792446654</v>
      </c>
      <c r="G28" s="67">
        <f>G3/G$2</f>
        <v>191.2916629142033</v>
      </c>
      <c r="H28" s="67">
        <f>H3/H$2</f>
        <v>267.42396449159799</v>
      </c>
      <c r="J28" s="67">
        <f>J3/J$2</f>
        <v>65.353796623492059</v>
      </c>
      <c r="K28" s="67">
        <f>K3/K$2</f>
        <v>54.144276306277895</v>
      </c>
      <c r="L28" s="67">
        <f>L3/L$2</f>
        <v>47.27397839682002</v>
      </c>
      <c r="N28" s="67">
        <f>N3/N$2</f>
        <v>20.634994760028086</v>
      </c>
      <c r="P28" s="68"/>
      <c r="Q28" s="68"/>
      <c r="R28" s="68"/>
      <c r="S28" s="68"/>
      <c r="T28" s="68"/>
      <c r="U28" s="68"/>
      <c r="V28" s="68"/>
      <c r="W28" s="68"/>
      <c r="X28" s="68"/>
      <c r="Y28" s="68"/>
    </row>
    <row r="29" spans="1:25" x14ac:dyDescent="0.35">
      <c r="A29" s="58">
        <v>16</v>
      </c>
      <c r="B29" s="67">
        <f t="shared" ref="B29:N29" si="0">B4/B$2</f>
        <v>1035.0994339905019</v>
      </c>
      <c r="C29" s="67">
        <f t="shared" si="0"/>
        <v>975.14339960782831</v>
      </c>
      <c r="D29" s="67"/>
      <c r="E29" s="67">
        <f t="shared" si="0"/>
        <v>597.13967899222723</v>
      </c>
      <c r="F29" s="67">
        <f t="shared" si="0"/>
        <v>252.44860708640482</v>
      </c>
      <c r="G29" s="67">
        <f t="shared" si="0"/>
        <v>179.14956650303668</v>
      </c>
      <c r="H29" s="67">
        <f t="shared" si="0"/>
        <v>117.85759891525298</v>
      </c>
      <c r="I29" s="67"/>
      <c r="J29" s="67">
        <f t="shared" si="0"/>
        <v>51.136040033059423</v>
      </c>
      <c r="K29" s="67">
        <f t="shared" si="0"/>
        <v>45.486206964831531</v>
      </c>
      <c r="L29" s="67">
        <f t="shared" si="0"/>
        <v>29.8355906929166</v>
      </c>
      <c r="M29" s="67"/>
      <c r="N29" s="67">
        <f t="shared" si="0"/>
        <v>26.14771387999016</v>
      </c>
    </row>
    <row r="30" spans="1:25" x14ac:dyDescent="0.35">
      <c r="A30" s="58">
        <v>20</v>
      </c>
      <c r="B30" s="67">
        <f t="shared" ref="B30:N30" si="1">B5/B$2</f>
        <v>310.14223825910921</v>
      </c>
      <c r="C30" s="67">
        <f t="shared" si="1"/>
        <v>381.74081557491957</v>
      </c>
      <c r="D30" s="67"/>
      <c r="E30" s="67">
        <f t="shared" si="1"/>
        <v>376.29119714095037</v>
      </c>
      <c r="F30" s="67">
        <f t="shared" si="1"/>
        <v>264.18129505130787</v>
      </c>
      <c r="G30" s="67">
        <f t="shared" si="1"/>
        <v>196.15727715488859</v>
      </c>
      <c r="H30" s="67">
        <f t="shared" si="1"/>
        <v>162.77301393177515</v>
      </c>
      <c r="I30" s="67"/>
      <c r="J30" s="67">
        <f t="shared" si="1"/>
        <v>81.228398904333602</v>
      </c>
      <c r="K30" s="67">
        <f t="shared" si="1"/>
        <v>66.432594625915272</v>
      </c>
      <c r="L30" s="67">
        <f t="shared" si="1"/>
        <v>60.095580774601352</v>
      </c>
      <c r="M30" s="67"/>
      <c r="N30" s="67">
        <f t="shared" si="1"/>
        <v>34.944440588721768</v>
      </c>
    </row>
    <row r="31" spans="1:25" x14ac:dyDescent="0.35">
      <c r="A31" s="58">
        <v>21</v>
      </c>
      <c r="B31" s="67">
        <f t="shared" ref="B31:N31" si="2">B6/B$2</f>
        <v>503.17389345518023</v>
      </c>
      <c r="C31" s="67">
        <f t="shared" si="2"/>
        <v>685.11591774247154</v>
      </c>
      <c r="D31" s="67"/>
      <c r="E31" s="67">
        <f t="shared" si="2"/>
        <v>536.8323873938391</v>
      </c>
      <c r="F31" s="67">
        <f t="shared" si="2"/>
        <v>200.88389151884866</v>
      </c>
      <c r="G31" s="67">
        <f t="shared" si="2"/>
        <v>120.39231451748871</v>
      </c>
      <c r="H31" s="67">
        <f t="shared" si="2"/>
        <v>86.361000500431274</v>
      </c>
      <c r="I31" s="67"/>
      <c r="J31" s="67">
        <f t="shared" si="2"/>
        <v>37.706527379801585</v>
      </c>
      <c r="K31" s="67">
        <f t="shared" si="2"/>
        <v>30.306406354958646</v>
      </c>
      <c r="L31" s="67">
        <f t="shared" si="2"/>
        <v>22.686589080815381</v>
      </c>
      <c r="M31" s="67"/>
      <c r="N31" s="67">
        <f t="shared" si="2"/>
        <v>8.7975975345262381</v>
      </c>
    </row>
    <row r="32" spans="1:25" x14ac:dyDescent="0.35">
      <c r="A32" s="31">
        <v>26</v>
      </c>
      <c r="B32" s="67">
        <f t="shared" ref="B32:N32" si="3">B7/B$2</f>
        <v>465.89738201676533</v>
      </c>
      <c r="C32" s="67">
        <f t="shared" si="3"/>
        <v>454.28045734804238</v>
      </c>
      <c r="D32" s="67"/>
      <c r="E32" s="67">
        <f t="shared" si="3"/>
        <v>485.59774382890254</v>
      </c>
      <c r="F32" s="67">
        <f t="shared" si="3"/>
        <v>699.40320751599347</v>
      </c>
      <c r="G32" s="67">
        <f t="shared" si="3"/>
        <v>745.07829011771094</v>
      </c>
      <c r="H32" s="67">
        <f t="shared" si="3"/>
        <v>635.23873641395755</v>
      </c>
      <c r="I32" s="67"/>
      <c r="J32" s="67">
        <f t="shared" si="3"/>
        <v>795.86071082383512</v>
      </c>
      <c r="K32" s="67">
        <f t="shared" si="3"/>
        <v>812.28722882202055</v>
      </c>
      <c r="L32" s="67">
        <f t="shared" si="3"/>
        <v>937.97776288425052</v>
      </c>
      <c r="M32" s="67"/>
      <c r="N32" s="67">
        <f t="shared" si="3"/>
        <v>823.07230500408764</v>
      </c>
    </row>
    <row r="33" spans="1:14" x14ac:dyDescent="0.35">
      <c r="A33" s="31">
        <v>27</v>
      </c>
      <c r="B33" s="67">
        <f t="shared" ref="B33:N33" si="4">B8/B$2</f>
        <v>505.83475894444399</v>
      </c>
      <c r="C33" s="67">
        <f t="shared" si="4"/>
        <v>755.99495961878665</v>
      </c>
      <c r="D33" s="67"/>
      <c r="E33" s="67">
        <f t="shared" si="4"/>
        <v>922.94988510942528</v>
      </c>
      <c r="F33" s="67">
        <f t="shared" si="4"/>
        <v>580.72444044370843</v>
      </c>
      <c r="G33" s="67">
        <f t="shared" si="4"/>
        <v>444.43067606820938</v>
      </c>
      <c r="H33" s="67">
        <f t="shared" si="4"/>
        <v>316.30156103401691</v>
      </c>
      <c r="I33" s="67"/>
      <c r="J33" s="67">
        <f t="shared" si="4"/>
        <v>208.44313289185502</v>
      </c>
      <c r="K33" s="67">
        <f t="shared" si="4"/>
        <v>182.16068801460023</v>
      </c>
      <c r="L33" s="67">
        <f t="shared" si="4"/>
        <v>172.16484028266817</v>
      </c>
      <c r="M33" s="67"/>
      <c r="N33" s="67">
        <f t="shared" si="4"/>
        <v>149.40973951901759</v>
      </c>
    </row>
    <row r="34" spans="1:14" x14ac:dyDescent="0.35">
      <c r="A34" s="31">
        <v>28</v>
      </c>
      <c r="B34" s="67">
        <f t="shared" ref="B34:N34" si="5">B9/B$2</f>
        <v>473.71609298380309</v>
      </c>
      <c r="C34" s="67">
        <f t="shared" si="5"/>
        <v>791.96321059812726</v>
      </c>
      <c r="D34" s="67"/>
      <c r="E34" s="67">
        <f t="shared" si="5"/>
        <v>930.14521298083673</v>
      </c>
      <c r="F34" s="67">
        <f t="shared" si="5"/>
        <v>560.41696759437673</v>
      </c>
      <c r="G34" s="67">
        <f t="shared" si="5"/>
        <v>422.83019505814678</v>
      </c>
      <c r="H34" s="67">
        <f t="shared" si="5"/>
        <v>306.68502256120382</v>
      </c>
      <c r="I34" s="67"/>
      <c r="J34" s="67">
        <f t="shared" si="5"/>
        <v>213.91406323926296</v>
      </c>
      <c r="K34" s="67">
        <f t="shared" si="5"/>
        <v>200.35372502741677</v>
      </c>
      <c r="L34" s="67">
        <f t="shared" si="5"/>
        <v>203.13361033916289</v>
      </c>
      <c r="M34" s="67"/>
      <c r="N34" s="67">
        <f t="shared" si="5"/>
        <v>174.41952607391329</v>
      </c>
    </row>
    <row r="35" spans="1:14" x14ac:dyDescent="0.35">
      <c r="A35" s="18">
        <v>32</v>
      </c>
      <c r="B35" s="67">
        <f t="shared" ref="B35:N35" si="6">B10/B$2</f>
        <v>543.64826325864726</v>
      </c>
      <c r="C35" s="67">
        <f t="shared" si="6"/>
        <v>926.25048026004265</v>
      </c>
      <c r="D35" s="67"/>
      <c r="E35" s="67">
        <f t="shared" si="6"/>
        <v>1142.1349347449232</v>
      </c>
      <c r="F35" s="67">
        <f t="shared" si="6"/>
        <v>711.07966650788694</v>
      </c>
      <c r="G35" s="67">
        <f t="shared" si="6"/>
        <v>524.54599191817556</v>
      </c>
      <c r="H35" s="67">
        <f t="shared" si="6"/>
        <v>317.58470756633483</v>
      </c>
      <c r="I35" s="67"/>
      <c r="J35" s="67">
        <f t="shared" si="6"/>
        <v>186.76957776909327</v>
      </c>
      <c r="K35" s="67">
        <f t="shared" si="6"/>
        <v>156.74108506359698</v>
      </c>
      <c r="L35" s="67">
        <f t="shared" si="6"/>
        <v>129.5249997718314</v>
      </c>
      <c r="M35" s="67"/>
      <c r="N35" s="67">
        <f t="shared" si="6"/>
        <v>102.02767870814493</v>
      </c>
    </row>
    <row r="36" spans="1:14" x14ac:dyDescent="0.35">
      <c r="A36" s="18">
        <v>33</v>
      </c>
      <c r="B36" s="67">
        <f t="shared" ref="B36:N36" si="7">B11/B$2</f>
        <v>749.03458993383276</v>
      </c>
      <c r="C36" s="67">
        <f t="shared" si="7"/>
        <v>1283.6677676011973</v>
      </c>
      <c r="D36" s="67"/>
      <c r="E36" s="67">
        <f t="shared" si="7"/>
        <v>1394.5829064284014</v>
      </c>
      <c r="F36" s="67">
        <f t="shared" si="7"/>
        <v>813.4996924716736</v>
      </c>
      <c r="G36" s="67">
        <f t="shared" si="7"/>
        <v>558.8637205370843</v>
      </c>
      <c r="H36" s="67">
        <f t="shared" si="7"/>
        <v>335.68033467192754</v>
      </c>
      <c r="I36" s="67"/>
      <c r="J36" s="67">
        <f t="shared" si="7"/>
        <v>274.15071581713363</v>
      </c>
      <c r="K36" s="67">
        <f t="shared" si="7"/>
        <v>250.82532637637826</v>
      </c>
      <c r="L36" s="67">
        <f t="shared" si="7"/>
        <v>253.23863491620659</v>
      </c>
      <c r="M36" s="67"/>
      <c r="N36" s="67">
        <f t="shared" si="7"/>
        <v>213.14980123406781</v>
      </c>
    </row>
    <row r="37" spans="1:14" x14ac:dyDescent="0.35">
      <c r="A37" s="20">
        <v>44</v>
      </c>
      <c r="B37" s="67">
        <f t="shared" ref="B37:N37" si="8">B12/B$2</f>
        <v>279.13384804638883</v>
      </c>
      <c r="C37" s="67">
        <f t="shared" si="8"/>
        <v>275.38335645927447</v>
      </c>
      <c r="D37" s="67"/>
      <c r="E37" s="67">
        <f t="shared" si="8"/>
        <v>185.15752756522721</v>
      </c>
      <c r="F37" s="67">
        <f t="shared" si="8"/>
        <v>72.49702286531425</v>
      </c>
      <c r="G37" s="67">
        <f t="shared" si="8"/>
        <v>50.077645141973349</v>
      </c>
      <c r="H37" s="67">
        <f t="shared" si="8"/>
        <v>43.081679924074052</v>
      </c>
      <c r="I37" s="67"/>
      <c r="J37" s="67">
        <f t="shared" si="8"/>
        <v>21.689749803107855</v>
      </c>
      <c r="K37" s="67">
        <f t="shared" si="8"/>
        <v>18.835225644908714</v>
      </c>
      <c r="L37" s="67">
        <f t="shared" si="8"/>
        <v>16.331261534992215</v>
      </c>
      <c r="M37" s="67"/>
      <c r="N37" s="67">
        <f t="shared" si="8"/>
        <v>8.0095222407714921</v>
      </c>
    </row>
    <row r="38" spans="1:14" x14ac:dyDescent="0.35">
      <c r="A38" s="20">
        <v>45</v>
      </c>
      <c r="B38" s="67">
        <f t="shared" ref="B38:N38" si="9">B13/B$2</f>
        <v>336.85616024229915</v>
      </c>
      <c r="C38" s="67">
        <f t="shared" si="9"/>
        <v>248.63463157541392</v>
      </c>
      <c r="D38" s="67"/>
      <c r="E38" s="67">
        <f t="shared" si="9"/>
        <v>146.22217384740017</v>
      </c>
      <c r="F38" s="67">
        <f t="shared" si="9"/>
        <v>58.567939679721576</v>
      </c>
      <c r="G38" s="67">
        <f t="shared" si="9"/>
        <v>39.129849645642174</v>
      </c>
      <c r="H38" s="67">
        <f t="shared" si="9"/>
        <v>28.245584655413094</v>
      </c>
      <c r="I38" s="67"/>
      <c r="J38" s="67">
        <f t="shared" si="9"/>
        <v>19.233489107623132</v>
      </c>
      <c r="K38" s="67">
        <f t="shared" si="9"/>
        <v>17.615739187697116</v>
      </c>
      <c r="L38" s="67">
        <f t="shared" si="9"/>
        <v>19.780810417345599</v>
      </c>
      <c r="M38" s="67"/>
      <c r="N38" s="67">
        <f t="shared" si="9"/>
        <v>12.970539073489853</v>
      </c>
    </row>
    <row r="39" spans="1:14" x14ac:dyDescent="0.35">
      <c r="A39" s="29">
        <v>15</v>
      </c>
      <c r="B39" s="67">
        <f t="shared" ref="B39:N39" si="10">B14/B$2</f>
        <v>366.85775538815096</v>
      </c>
      <c r="C39" s="67">
        <f t="shared" si="10"/>
        <v>689.96421936173533</v>
      </c>
      <c r="D39" s="67"/>
      <c r="E39" s="67">
        <f t="shared" si="10"/>
        <v>838.50559544531598</v>
      </c>
      <c r="F39" s="67">
        <f t="shared" si="10"/>
        <v>453.7836983504331</v>
      </c>
      <c r="G39" s="67">
        <f t="shared" si="10"/>
        <v>323.88791180866895</v>
      </c>
      <c r="H39" s="67">
        <f t="shared" si="10"/>
        <v>214.12854609234657</v>
      </c>
      <c r="I39" s="67"/>
      <c r="J39" s="67">
        <f t="shared" si="10"/>
        <v>120.53246714646413</v>
      </c>
      <c r="K39" s="67">
        <f t="shared" si="10"/>
        <v>95.888782931465414</v>
      </c>
      <c r="L39" s="67">
        <f t="shared" si="10"/>
        <v>72.615306508348013</v>
      </c>
      <c r="M39" s="67"/>
      <c r="N39" s="67">
        <f t="shared" si="10"/>
        <v>43.878012269943355</v>
      </c>
    </row>
    <row r="40" spans="1:14" x14ac:dyDescent="0.35">
      <c r="A40" s="29">
        <v>17</v>
      </c>
      <c r="B40" s="67">
        <f t="shared" ref="B40:N40" si="11">B15/B$2</f>
        <v>96.958907976124706</v>
      </c>
      <c r="C40" s="67">
        <f t="shared" si="11"/>
        <v>131.63281468893675</v>
      </c>
      <c r="D40" s="67"/>
      <c r="E40" s="67">
        <f t="shared" si="11"/>
        <v>159.93885748998991</v>
      </c>
      <c r="F40" s="67">
        <f t="shared" si="11"/>
        <v>85.572679625942797</v>
      </c>
      <c r="G40" s="67">
        <f t="shared" si="11"/>
        <v>60.673428963235828</v>
      </c>
      <c r="H40" s="67">
        <f t="shared" si="11"/>
        <v>36.56442670074567</v>
      </c>
      <c r="I40" s="67"/>
      <c r="J40" s="67">
        <f t="shared" si="11"/>
        <v>19.508359771551472</v>
      </c>
      <c r="K40" s="67">
        <f t="shared" si="11"/>
        <v>16.736461364447095</v>
      </c>
      <c r="L40" s="67">
        <f t="shared" si="11"/>
        <v>15.445990001444651</v>
      </c>
      <c r="M40" s="67"/>
      <c r="N40" s="67">
        <f t="shared" si="11"/>
        <v>9.0308950707849007</v>
      </c>
    </row>
    <row r="41" spans="1:14" x14ac:dyDescent="0.35">
      <c r="A41" s="62">
        <v>1</v>
      </c>
      <c r="B41" s="67">
        <f t="shared" ref="B41:N41" si="12">B16/B$2</f>
        <v>528.77049341373424</v>
      </c>
      <c r="C41" s="67">
        <f t="shared" si="12"/>
        <v>506.39014902031596</v>
      </c>
      <c r="D41" s="67"/>
      <c r="E41" s="67">
        <f t="shared" si="12"/>
        <v>449.28455849202061</v>
      </c>
      <c r="F41" s="67">
        <f t="shared" si="12"/>
        <v>327.48693823882866</v>
      </c>
      <c r="G41" s="67">
        <f t="shared" si="12"/>
        <v>298.69229744491463</v>
      </c>
      <c r="H41" s="67">
        <f t="shared" si="12"/>
        <v>215.50381286470881</v>
      </c>
      <c r="I41" s="67"/>
      <c r="J41" s="67">
        <f t="shared" si="12"/>
        <v>214.47905183977841</v>
      </c>
      <c r="K41" s="67">
        <f t="shared" si="12"/>
        <v>195.36797039358063</v>
      </c>
      <c r="L41" s="67">
        <f t="shared" si="12"/>
        <v>211.85995169627586</v>
      </c>
      <c r="M41" s="67"/>
      <c r="N41" s="67">
        <f t="shared" si="12"/>
        <v>224.9649823183247</v>
      </c>
    </row>
    <row r="42" spans="1:14" x14ac:dyDescent="0.35">
      <c r="A42" s="62">
        <v>3</v>
      </c>
      <c r="B42" s="67">
        <f t="shared" ref="B42:N42" si="13">B17/B$2</f>
        <v>54.602442741787506</v>
      </c>
      <c r="C42" s="67">
        <f t="shared" si="13"/>
        <v>70.114969138710023</v>
      </c>
      <c r="D42" s="67"/>
      <c r="E42" s="67">
        <f t="shared" si="13"/>
        <v>75.562434261485393</v>
      </c>
      <c r="F42" s="67">
        <f t="shared" si="13"/>
        <v>55.194826715502565</v>
      </c>
      <c r="G42" s="67">
        <f t="shared" si="13"/>
        <v>46.744862806981267</v>
      </c>
      <c r="H42" s="67">
        <f t="shared" si="13"/>
        <v>43.723938709459475</v>
      </c>
      <c r="I42" s="67"/>
      <c r="J42" s="67">
        <f t="shared" si="13"/>
        <v>28.83881116541335</v>
      </c>
      <c r="K42" s="67">
        <f t="shared" si="13"/>
        <v>28.199623984347898</v>
      </c>
      <c r="L42" s="67">
        <f t="shared" si="13"/>
        <v>25.385196108913799</v>
      </c>
      <c r="M42" s="67"/>
      <c r="N42" s="67">
        <f t="shared" si="13"/>
        <v>20.85918244428251</v>
      </c>
    </row>
    <row r="43" spans="1:14" x14ac:dyDescent="0.35">
      <c r="A43" s="18">
        <v>11</v>
      </c>
      <c r="B43" s="67">
        <f t="shared" ref="B43:N43" si="14">B18/B$2</f>
        <v>719.44821312970521</v>
      </c>
      <c r="C43" s="67">
        <f t="shared" si="14"/>
        <v>840.51210678456459</v>
      </c>
      <c r="D43" s="67"/>
      <c r="E43" s="67">
        <f t="shared" si="14"/>
        <v>827.33214426716108</v>
      </c>
      <c r="F43" s="67">
        <f t="shared" si="14"/>
        <v>713.57934274855279</v>
      </c>
      <c r="G43" s="67">
        <f t="shared" si="14"/>
        <v>622.38657560652996</v>
      </c>
      <c r="H43" s="67">
        <f t="shared" si="14"/>
        <v>567.08594537493343</v>
      </c>
      <c r="I43" s="67"/>
      <c r="J43" s="67">
        <f t="shared" si="14"/>
        <v>383.23568419298141</v>
      </c>
      <c r="K43" s="67">
        <f t="shared" si="14"/>
        <v>364.124808571953</v>
      </c>
      <c r="L43" s="67">
        <f t="shared" si="14"/>
        <v>379.68068851287137</v>
      </c>
      <c r="M43" s="67"/>
      <c r="N43" s="67">
        <f t="shared" si="14"/>
        <v>286.43608552393272</v>
      </c>
    </row>
    <row r="44" spans="1:14" x14ac:dyDescent="0.35">
      <c r="A44" s="18">
        <v>12</v>
      </c>
      <c r="B44" s="67">
        <f t="shared" ref="B44:N44" si="15">B19/B$2</f>
        <v>668.61398196280538</v>
      </c>
      <c r="C44" s="67">
        <f t="shared" si="15"/>
        <v>788.91237189349567</v>
      </c>
      <c r="D44" s="67"/>
      <c r="E44" s="67">
        <f t="shared" si="15"/>
        <v>892.95045804942106</v>
      </c>
      <c r="F44" s="67">
        <f t="shared" si="15"/>
        <v>828.63787605078733</v>
      </c>
      <c r="G44" s="67">
        <f t="shared" si="15"/>
        <v>814.91654473859626</v>
      </c>
      <c r="H44" s="67">
        <f t="shared" si="15"/>
        <v>633.68958788239559</v>
      </c>
      <c r="I44" s="67"/>
      <c r="J44" s="67">
        <f t="shared" si="15"/>
        <v>563.34286864213357</v>
      </c>
      <c r="K44" s="67">
        <f t="shared" si="15"/>
        <v>521.91860957977838</v>
      </c>
      <c r="L44" s="67">
        <f t="shared" si="15"/>
        <v>523.32042843083661</v>
      </c>
      <c r="M44" s="67"/>
      <c r="N44" s="67">
        <f t="shared" si="15"/>
        <v>461.39069129654018</v>
      </c>
    </row>
    <row r="45" spans="1:14" x14ac:dyDescent="0.35">
      <c r="A45" s="18">
        <v>13</v>
      </c>
      <c r="B45" s="67">
        <f t="shared" ref="B45:N45" si="16">B20/B$2</f>
        <v>1478.7766679179729</v>
      </c>
      <c r="C45" s="67">
        <f t="shared" si="16"/>
        <v>954.32780171196691</v>
      </c>
      <c r="D45" s="67"/>
      <c r="E45" s="67">
        <f t="shared" si="16"/>
        <v>624.29880685998</v>
      </c>
      <c r="F45" s="67">
        <f t="shared" si="16"/>
        <v>525.71479322090499</v>
      </c>
      <c r="G45" s="67">
        <f t="shared" si="16"/>
        <v>493.02389067583852</v>
      </c>
      <c r="H45" s="67">
        <f t="shared" si="16"/>
        <v>368.2750655392889</v>
      </c>
      <c r="I45" s="67"/>
      <c r="J45" s="67">
        <f t="shared" si="16"/>
        <v>320.84061141412775</v>
      </c>
      <c r="K45" s="67">
        <f t="shared" si="16"/>
        <v>299.48609304104275</v>
      </c>
      <c r="L45" s="67">
        <f t="shared" si="16"/>
        <v>316.59734175560203</v>
      </c>
      <c r="M45" s="67"/>
      <c r="N45" s="67">
        <f t="shared" si="16"/>
        <v>330.87115382870911</v>
      </c>
    </row>
    <row r="46" spans="1:14" x14ac:dyDescent="0.35">
      <c r="A46" s="18">
        <v>14</v>
      </c>
      <c r="B46" s="67">
        <f t="shared" ref="B46:N46" si="17">B21/B$2</f>
        <v>277.08201362808012</v>
      </c>
      <c r="C46" s="67">
        <f t="shared" si="17"/>
        <v>286.35611792177184</v>
      </c>
      <c r="D46" s="67"/>
      <c r="E46" s="67">
        <f t="shared" si="17"/>
        <v>273.47630931235994</v>
      </c>
      <c r="F46" s="67">
        <f t="shared" si="17"/>
        <v>211.10786169233239</v>
      </c>
      <c r="G46" s="67">
        <f t="shared" si="17"/>
        <v>177.5943658797371</v>
      </c>
      <c r="H46" s="67">
        <f t="shared" si="17"/>
        <v>146.79156649797579</v>
      </c>
      <c r="I46" s="67"/>
      <c r="J46" s="67">
        <f t="shared" si="17"/>
        <v>121.36942928187608</v>
      </c>
      <c r="K46" s="67">
        <f t="shared" si="17"/>
        <v>110.99065064989828</v>
      </c>
      <c r="L46" s="67">
        <f t="shared" si="17"/>
        <v>121.95010163873778</v>
      </c>
      <c r="M46" s="67"/>
      <c r="N46" s="67">
        <f t="shared" si="17"/>
        <v>125.25152389290989</v>
      </c>
    </row>
    <row r="47" spans="1:14" x14ac:dyDescent="0.35">
      <c r="A47" s="20">
        <v>16</v>
      </c>
      <c r="B47" s="67">
        <f t="shared" ref="B47:C51" si="18">B22/B$2</f>
        <v>520.49725489181628</v>
      </c>
      <c r="C47" s="67">
        <f t="shared" si="18"/>
        <v>633.37705790941777</v>
      </c>
      <c r="D47" s="67"/>
      <c r="E47" s="67">
        <f t="shared" ref="E47:H51" si="19">E22/E$2</f>
        <v>665.93481666662944</v>
      </c>
      <c r="F47" s="67">
        <f t="shared" si="19"/>
        <v>624.22785173243312</v>
      </c>
      <c r="G47" s="67">
        <f t="shared" si="19"/>
        <v>540.46286239249355</v>
      </c>
      <c r="H47" s="67">
        <f t="shared" si="19"/>
        <v>450.46491468828543</v>
      </c>
      <c r="I47" s="67"/>
      <c r="J47" s="67">
        <f t="shared" ref="J47:L51" si="20">J22/J$2</f>
        <v>345.37710466172075</v>
      </c>
      <c r="K47" s="67">
        <f t="shared" si="20"/>
        <v>315.77350992011731</v>
      </c>
      <c r="L47" s="67">
        <f t="shared" si="20"/>
        <v>309.0930289572654</v>
      </c>
      <c r="M47" s="67"/>
      <c r="N47" s="67">
        <f>N22/N$2</f>
        <v>267.85696022173795</v>
      </c>
    </row>
    <row r="48" spans="1:14" x14ac:dyDescent="0.35">
      <c r="A48" s="20">
        <v>17</v>
      </c>
      <c r="B48" s="67">
        <f t="shared" si="18"/>
        <v>472.24890645055825</v>
      </c>
      <c r="C48" s="67">
        <f t="shared" si="18"/>
        <v>519.87020708620548</v>
      </c>
      <c r="D48" s="67"/>
      <c r="E48" s="67">
        <f t="shared" si="19"/>
        <v>419.32720862438299</v>
      </c>
      <c r="F48" s="67">
        <f t="shared" si="19"/>
        <v>275.36110316823215</v>
      </c>
      <c r="G48" s="67">
        <f t="shared" si="19"/>
        <v>223.71198592110449</v>
      </c>
      <c r="H48" s="67">
        <f t="shared" si="19"/>
        <v>183.08865665028671</v>
      </c>
      <c r="I48" s="67"/>
      <c r="J48" s="67">
        <f t="shared" si="20"/>
        <v>143.78257623801787</v>
      </c>
      <c r="K48" s="67">
        <f t="shared" si="20"/>
        <v>129.82005066878421</v>
      </c>
      <c r="L48" s="67">
        <f t="shared" si="20"/>
        <v>138.26900873398318</v>
      </c>
      <c r="M48" s="67"/>
      <c r="N48" s="67">
        <f>N23/N$2</f>
        <v>116.90284141104652</v>
      </c>
    </row>
    <row r="49" spans="1:14" x14ac:dyDescent="0.35">
      <c r="A49" s="29">
        <v>1</v>
      </c>
      <c r="B49" s="67">
        <f t="shared" si="18"/>
        <v>233.02716903515821</v>
      </c>
      <c r="C49" s="67">
        <f t="shared" si="18"/>
        <v>355.07685972542009</v>
      </c>
      <c r="D49" s="67"/>
      <c r="E49" s="67">
        <f t="shared" si="19"/>
        <v>648.94429696303428</v>
      </c>
      <c r="F49" s="67">
        <f t="shared" si="19"/>
        <v>1093.5760389343877</v>
      </c>
      <c r="G49" s="67">
        <f t="shared" si="19"/>
        <v>1287.2963340767549</v>
      </c>
      <c r="H49" s="67">
        <f t="shared" si="19"/>
        <v>1265.2702418460526</v>
      </c>
      <c r="I49" s="67"/>
      <c r="J49" s="67">
        <f t="shared" si="20"/>
        <v>1686.696823478097</v>
      </c>
      <c r="K49" s="67">
        <f t="shared" si="20"/>
        <v>1723.7478744961293</v>
      </c>
      <c r="L49" s="67">
        <f t="shared" si="20"/>
        <v>1989.7284398436129</v>
      </c>
      <c r="M49" s="67"/>
      <c r="N49" s="67">
        <f>N24/N$2</f>
        <v>1876.0506803222606</v>
      </c>
    </row>
    <row r="50" spans="1:14" x14ac:dyDescent="0.35">
      <c r="A50" s="29">
        <v>2</v>
      </c>
      <c r="B50" s="67">
        <f t="shared" si="18"/>
        <v>190.32321125315502</v>
      </c>
      <c r="C50" s="67">
        <f t="shared" si="18"/>
        <v>461.03101636420058</v>
      </c>
      <c r="D50" s="67"/>
      <c r="E50" s="67">
        <f t="shared" si="19"/>
        <v>738.11196752386138</v>
      </c>
      <c r="F50" s="67">
        <f t="shared" si="19"/>
        <v>575.99513591525874</v>
      </c>
      <c r="G50" s="67">
        <f t="shared" si="19"/>
        <v>441.29790408727376</v>
      </c>
      <c r="H50" s="67">
        <f t="shared" si="19"/>
        <v>400.1677976262838</v>
      </c>
      <c r="I50" s="67"/>
      <c r="J50" s="67">
        <f t="shared" si="20"/>
        <v>234.50768606470692</v>
      </c>
      <c r="K50" s="67">
        <f t="shared" si="20"/>
        <v>203.90845397493868</v>
      </c>
      <c r="L50" s="67">
        <f t="shared" si="20"/>
        <v>198.84311705639766</v>
      </c>
      <c r="M50" s="67"/>
      <c r="N50" s="67">
        <f>N25/N$2</f>
        <v>129.10999232530651</v>
      </c>
    </row>
    <row r="51" spans="1:14" x14ac:dyDescent="0.35">
      <c r="A51" s="31">
        <v>25</v>
      </c>
      <c r="B51" s="67">
        <f t="shared" si="18"/>
        <v>168.243890859782</v>
      </c>
      <c r="C51" s="67">
        <f t="shared" si="18"/>
        <v>281.42654025783378</v>
      </c>
      <c r="D51" s="67"/>
      <c r="E51" s="67">
        <f t="shared" si="19"/>
        <v>617.6025496653881</v>
      </c>
      <c r="F51" s="67">
        <f t="shared" si="19"/>
        <v>1337.1700855615713</v>
      </c>
      <c r="G51" s="67">
        <f t="shared" si="19"/>
        <v>1632.2902884095804</v>
      </c>
      <c r="H51" s="67">
        <f t="shared" si="19"/>
        <v>1784.2532582465731</v>
      </c>
      <c r="I51" s="67"/>
      <c r="J51" s="67">
        <f t="shared" si="20"/>
        <v>2435.9842779877499</v>
      </c>
      <c r="K51" s="67">
        <f t="shared" si="20"/>
        <v>2475.4644893055502</v>
      </c>
      <c r="L51" s="67">
        <f t="shared" si="20"/>
        <v>3023.3583750135158</v>
      </c>
      <c r="M51" s="67"/>
      <c r="N51" s="67">
        <f>N26/N$2</f>
        <v>3108.0150200611374</v>
      </c>
    </row>
    <row r="52" spans="1:14" x14ac:dyDescent="0.35"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</row>
    <row r="53" spans="1:14" x14ac:dyDescent="0.35"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</row>
    <row r="54" spans="1:14" x14ac:dyDescent="0.35"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</row>
    <row r="55" spans="1:14" x14ac:dyDescent="0.35"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14" x14ac:dyDescent="0.35"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</row>
    <row r="57" spans="1:14" x14ac:dyDescent="0.35"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</row>
    <row r="58" spans="1:14" x14ac:dyDescent="0.35"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</row>
    <row r="59" spans="1:14" x14ac:dyDescent="0.35"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</row>
    <row r="60" spans="1:14" x14ac:dyDescent="0.35"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</row>
    <row r="61" spans="1:14" x14ac:dyDescent="0.35"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</row>
    <row r="62" spans="1:14" x14ac:dyDescent="0.35">
      <c r="B62" s="67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</row>
    <row r="63" spans="1:14" x14ac:dyDescent="0.35"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</row>
    <row r="64" spans="1:14" x14ac:dyDescent="0.35"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</row>
    <row r="65" spans="2:14" x14ac:dyDescent="0.35"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</row>
    <row r="66" spans="2:14" x14ac:dyDescent="0.35"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</row>
    <row r="67" spans="2:14" x14ac:dyDescent="0.35"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</row>
    <row r="68" spans="2:14" x14ac:dyDescent="0.35"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</row>
    <row r="69" spans="2:14" x14ac:dyDescent="0.35"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</row>
    <row r="70" spans="2:14" x14ac:dyDescent="0.35"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</row>
    <row r="71" spans="2:14" x14ac:dyDescent="0.35"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</row>
    <row r="72" spans="2:14" x14ac:dyDescent="0.35"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</row>
    <row r="73" spans="2:14" x14ac:dyDescent="0.35"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</row>
    <row r="74" spans="2:14" x14ac:dyDescent="0.35"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</row>
    <row r="75" spans="2:14" x14ac:dyDescent="0.35"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</row>
    <row r="76" spans="2:14" x14ac:dyDescent="0.35"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</row>
    <row r="77" spans="2:14" x14ac:dyDescent="0.35"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53390-BB4B-4123-A612-36A289A93906}">
  <dimension ref="A1:BU34"/>
  <sheetViews>
    <sheetView zoomScale="80" zoomScaleNormal="80" workbookViewId="0">
      <pane xSplit="8" topLeftCell="AC1" activePane="topRight" state="frozen"/>
      <selection pane="topRight" activeCell="AF12" sqref="AF12"/>
    </sheetView>
  </sheetViews>
  <sheetFormatPr defaultRowHeight="14.5" x14ac:dyDescent="0.35"/>
  <cols>
    <col min="1" max="1" width="10.54296875" bestFit="1" customWidth="1"/>
    <col min="2" max="2" width="8.6328125" customWidth="1"/>
    <col min="3" max="3" width="15.36328125" bestFit="1" customWidth="1"/>
    <col min="4" max="4" width="5.81640625" bestFit="1" customWidth="1"/>
    <col min="5" max="5" width="7.08984375" bestFit="1" customWidth="1"/>
    <col min="6" max="6" width="10.6328125" bestFit="1" customWidth="1"/>
    <col min="30" max="30" width="10.26953125" style="54" bestFit="1" customWidth="1"/>
    <col min="31" max="31" width="10.90625" style="54" bestFit="1" customWidth="1"/>
    <col min="32" max="33" width="12.26953125" style="54" bestFit="1" customWidth="1"/>
    <col min="34" max="34" width="11.26953125" style="54" bestFit="1" customWidth="1"/>
    <col min="35" max="38" width="10.26953125" style="54" bestFit="1" customWidth="1"/>
    <col min="39" max="39" width="11.26953125" style="54" bestFit="1" customWidth="1"/>
    <col min="40" max="42" width="9.26953125" style="54" bestFit="1" customWidth="1"/>
    <col min="43" max="44" width="10.26953125" style="54" bestFit="1" customWidth="1"/>
    <col min="45" max="45" width="9.26953125" style="54" bestFit="1" customWidth="1"/>
    <col min="46" max="46" width="10.26953125" style="54" bestFit="1" customWidth="1"/>
    <col min="47" max="47" width="11.26953125" style="54" bestFit="1" customWidth="1"/>
    <col min="48" max="48" width="12.26953125" style="54" bestFit="1" customWidth="1"/>
    <col min="49" max="50" width="11.26953125" style="54" bestFit="1" customWidth="1"/>
    <col min="51" max="51" width="13.36328125" style="54" bestFit="1" customWidth="1"/>
    <col min="52" max="52" width="9.26953125" style="54" bestFit="1" customWidth="1"/>
    <col min="53" max="55" width="10.26953125" style="54" bestFit="1" customWidth="1"/>
    <col min="56" max="56" width="9.26953125" style="54" bestFit="1" customWidth="1"/>
    <col min="57" max="57" width="10.26953125" style="54" bestFit="1" customWidth="1"/>
    <col min="58" max="58" width="11.90625" style="73" bestFit="1" customWidth="1"/>
  </cols>
  <sheetData>
    <row r="1" spans="1:73" s="55" customFormat="1" ht="15.5" x14ac:dyDescent="0.35">
      <c r="A1" s="55" t="s">
        <v>0</v>
      </c>
      <c r="B1" s="55" t="s">
        <v>147</v>
      </c>
      <c r="C1" s="55" t="s">
        <v>2</v>
      </c>
      <c r="D1" s="55" t="s">
        <v>3</v>
      </c>
      <c r="E1" s="55" t="s">
        <v>4</v>
      </c>
      <c r="F1" s="55" t="s">
        <v>5</v>
      </c>
      <c r="G1" s="56" t="s">
        <v>3</v>
      </c>
      <c r="H1" s="56" t="s">
        <v>99</v>
      </c>
      <c r="I1" s="56" t="s">
        <v>100</v>
      </c>
      <c r="J1" s="56" t="s">
        <v>101</v>
      </c>
      <c r="K1" s="56" t="s">
        <v>102</v>
      </c>
      <c r="L1" s="56" t="s">
        <v>103</v>
      </c>
      <c r="M1" s="56" t="s">
        <v>104</v>
      </c>
      <c r="N1" s="56" t="s">
        <v>105</v>
      </c>
      <c r="O1" s="56" t="s">
        <v>106</v>
      </c>
      <c r="P1" s="56" t="s">
        <v>107</v>
      </c>
      <c r="Q1" s="56" t="s">
        <v>108</v>
      </c>
      <c r="R1" s="56" t="s">
        <v>109</v>
      </c>
      <c r="S1" s="56" t="s">
        <v>110</v>
      </c>
      <c r="T1" s="56" t="s">
        <v>111</v>
      </c>
      <c r="U1" s="56" t="s">
        <v>112</v>
      </c>
      <c r="V1" s="56" t="s">
        <v>19</v>
      </c>
      <c r="W1" s="56" t="s">
        <v>17</v>
      </c>
      <c r="X1" s="56" t="s">
        <v>113</v>
      </c>
      <c r="Y1" s="56" t="s">
        <v>114</v>
      </c>
      <c r="Z1" s="56" t="s">
        <v>13</v>
      </c>
      <c r="AA1" s="56" t="s">
        <v>115</v>
      </c>
      <c r="AB1" s="56" t="s">
        <v>116</v>
      </c>
      <c r="AC1" s="56" t="s">
        <v>21</v>
      </c>
      <c r="AD1" s="57" t="s">
        <v>22</v>
      </c>
      <c r="AE1" s="13" t="s">
        <v>23</v>
      </c>
      <c r="AF1" s="13" t="s">
        <v>24</v>
      </c>
      <c r="AG1" s="13" t="s">
        <v>25</v>
      </c>
      <c r="AH1" s="13" t="s">
        <v>26</v>
      </c>
      <c r="AI1" s="13" t="s">
        <v>27</v>
      </c>
      <c r="AJ1" s="13" t="s">
        <v>28</v>
      </c>
      <c r="AK1" s="13" t="s">
        <v>29</v>
      </c>
      <c r="AL1" s="13" t="s">
        <v>30</v>
      </c>
      <c r="AM1" s="13" t="s">
        <v>31</v>
      </c>
      <c r="AN1" s="13" t="s">
        <v>32</v>
      </c>
      <c r="AO1" s="13" t="s">
        <v>33</v>
      </c>
      <c r="AP1" s="13" t="s">
        <v>34</v>
      </c>
      <c r="AQ1" s="13" t="s">
        <v>35</v>
      </c>
      <c r="AR1" s="13" t="s">
        <v>36</v>
      </c>
      <c r="AS1" s="13" t="s">
        <v>37</v>
      </c>
      <c r="AT1" s="13" t="s">
        <v>38</v>
      </c>
      <c r="AU1" s="13" t="s">
        <v>39</v>
      </c>
      <c r="AV1" s="13" t="s">
        <v>40</v>
      </c>
      <c r="AW1" s="13" t="s">
        <v>41</v>
      </c>
      <c r="AX1" s="13" t="s">
        <v>42</v>
      </c>
      <c r="AY1" s="13" t="s">
        <v>43</v>
      </c>
      <c r="AZ1" s="13" t="s">
        <v>44</v>
      </c>
      <c r="BA1" s="13" t="s">
        <v>45</v>
      </c>
      <c r="BB1" s="13" t="s">
        <v>46</v>
      </c>
      <c r="BC1" s="13" t="s">
        <v>47</v>
      </c>
      <c r="BD1" s="13" t="s">
        <v>48</v>
      </c>
      <c r="BE1" s="13" t="s">
        <v>49</v>
      </c>
      <c r="BF1" s="71" t="s">
        <v>156</v>
      </c>
      <c r="BG1" s="5" t="s">
        <v>155</v>
      </c>
      <c r="BI1" s="5"/>
      <c r="BJ1" s="55">
        <v>5993.4289771090998</v>
      </c>
      <c r="BK1" s="55" t="s">
        <v>132</v>
      </c>
      <c r="BL1" s="55" t="s">
        <v>133</v>
      </c>
      <c r="BM1" s="55" t="s">
        <v>134</v>
      </c>
      <c r="BN1" s="55" t="s">
        <v>135</v>
      </c>
      <c r="BO1" s="55" t="s">
        <v>136</v>
      </c>
      <c r="BP1" s="55" t="s">
        <v>153</v>
      </c>
      <c r="BQ1" s="55" t="s">
        <v>154</v>
      </c>
      <c r="BR1" s="55" t="s">
        <v>179</v>
      </c>
      <c r="BS1" s="84" t="s">
        <v>181</v>
      </c>
      <c r="BT1" s="55" t="s">
        <v>191</v>
      </c>
      <c r="BU1" s="55" t="s">
        <v>182</v>
      </c>
    </row>
    <row r="2" spans="1:73" s="37" customFormat="1" x14ac:dyDescent="0.35">
      <c r="A2" s="37" t="s">
        <v>122</v>
      </c>
      <c r="B2" s="69" t="s">
        <v>151</v>
      </c>
      <c r="C2" s="29">
        <v>1</v>
      </c>
      <c r="D2" s="29">
        <v>25.48</v>
      </c>
      <c r="E2" s="29">
        <v>22</v>
      </c>
      <c r="F2" s="29">
        <v>77</v>
      </c>
      <c r="G2" s="59">
        <v>25.48</v>
      </c>
      <c r="H2" s="59">
        <v>15.39</v>
      </c>
      <c r="I2" s="59">
        <v>1.26</v>
      </c>
      <c r="J2" s="12"/>
      <c r="K2" s="59">
        <v>17.399999999999999</v>
      </c>
      <c r="L2" s="59">
        <v>1.65</v>
      </c>
      <c r="M2" s="59">
        <v>0.41</v>
      </c>
      <c r="N2" s="59">
        <v>30.36</v>
      </c>
      <c r="O2" s="12"/>
      <c r="P2" s="59">
        <v>0.48</v>
      </c>
      <c r="Q2" s="59">
        <v>0</v>
      </c>
      <c r="R2" s="12"/>
      <c r="S2" s="12"/>
      <c r="T2" s="12"/>
      <c r="U2" s="59">
        <v>0</v>
      </c>
      <c r="V2" s="12"/>
      <c r="W2" s="59">
        <v>5.3</v>
      </c>
      <c r="X2" s="59">
        <v>0</v>
      </c>
      <c r="Y2" s="59">
        <v>0</v>
      </c>
      <c r="Z2" s="12"/>
      <c r="AA2" s="12"/>
      <c r="AB2" s="12"/>
      <c r="AC2" s="59">
        <v>97.73</v>
      </c>
      <c r="AD2" s="60">
        <v>21.155448696831243</v>
      </c>
      <c r="AE2" s="60">
        <v>4.7988571726030127</v>
      </c>
      <c r="AF2" s="60">
        <v>201.72297590520978</v>
      </c>
      <c r="AG2" s="60">
        <v>63250.07031067057</v>
      </c>
      <c r="AH2" s="60">
        <v>217.3070381519571</v>
      </c>
      <c r="AI2" s="60">
        <v>167.31713395696099</v>
      </c>
      <c r="AJ2" s="60">
        <v>364.92041870547831</v>
      </c>
      <c r="AK2" s="60">
        <v>344.6318329517506</v>
      </c>
      <c r="AL2" s="60">
        <v>379.97022078216077</v>
      </c>
      <c r="AM2" s="60">
        <v>1128.0279814815074</v>
      </c>
      <c r="AN2" s="60">
        <v>1.8128954484472342</v>
      </c>
      <c r="AO2" s="60">
        <v>4.3294250299490527</v>
      </c>
      <c r="AP2" s="60">
        <v>64.831412746477866</v>
      </c>
      <c r="AQ2" s="60">
        <v>97.564129696480919</v>
      </c>
      <c r="AR2" s="60">
        <v>428.42099316343666</v>
      </c>
      <c r="AS2" s="60">
        <v>74.975127921525939</v>
      </c>
      <c r="AT2" s="60">
        <v>303.05698668173704</v>
      </c>
      <c r="AU2" s="60">
        <v>55.22743906133249</v>
      </c>
      <c r="AV2" s="60">
        <v>283.5432673396358</v>
      </c>
      <c r="AW2" s="60">
        <v>2660.6259648816858</v>
      </c>
      <c r="AX2" s="60">
        <v>766.52651136946679</v>
      </c>
      <c r="AY2" s="60">
        <v>155640.11367487907</v>
      </c>
      <c r="AZ2" s="60">
        <v>5.3177391205390299</v>
      </c>
      <c r="BA2" s="60">
        <v>29.233750787230669</v>
      </c>
      <c r="BB2" s="60">
        <v>260.0130346993638</v>
      </c>
      <c r="BC2" s="60">
        <v>318.92861565478432</v>
      </c>
      <c r="BD2" s="60">
        <v>74.663187376451788</v>
      </c>
      <c r="BE2" s="60">
        <v>329.30005679411795</v>
      </c>
      <c r="BF2" s="72">
        <f>AY2/$BJ$1</f>
        <v>25.968458835387967</v>
      </c>
      <c r="BG2" s="37">
        <f>AG2/$BJ$2</f>
        <v>8.5437530572156266</v>
      </c>
      <c r="BH2" s="37">
        <f>AI2/AT2</f>
        <v>0.55209792649549871</v>
      </c>
      <c r="BI2" s="37">
        <f>BH2*0.604</f>
        <v>0.33346714760328122</v>
      </c>
      <c r="BJ2" s="37">
        <v>7403.0780017983689</v>
      </c>
      <c r="BK2" s="37">
        <f>AI2/BC2</f>
        <v>0.52462251972419094</v>
      </c>
      <c r="BL2" s="37">
        <v>4.6929121761308155</v>
      </c>
      <c r="BM2" s="37">
        <v>27.270534500321105</v>
      </c>
      <c r="BN2" s="37">
        <f>AU2/BC2</f>
        <v>0.17316551839648012</v>
      </c>
      <c r="BO2" s="37">
        <v>4.3735475647958948</v>
      </c>
      <c r="BP2" s="70">
        <f>AH2+AI2+BB2+BE2+BC2+AR2+AQ2+BD2+AT2+AU2</f>
        <v>2251.7986152366229</v>
      </c>
      <c r="BQ2" s="37">
        <f>AG2/AM2</f>
        <v>56.071366445715668</v>
      </c>
      <c r="BR2" s="37">
        <f>AN2/AO2</f>
        <v>0.41873815481418969</v>
      </c>
      <c r="BS2" s="37">
        <v>7.4962076556518792E-2</v>
      </c>
      <c r="BT2" s="37">
        <f>AI2/AT2</f>
        <v>0.55209792649549871</v>
      </c>
      <c r="BU2" s="37" t="s">
        <v>189</v>
      </c>
    </row>
    <row r="3" spans="1:73" s="37" customFormat="1" x14ac:dyDescent="0.35">
      <c r="A3" s="37" t="s">
        <v>122</v>
      </c>
      <c r="B3" s="69" t="s">
        <v>151</v>
      </c>
      <c r="C3" s="74" t="s">
        <v>75</v>
      </c>
      <c r="D3" s="74">
        <v>24.49</v>
      </c>
      <c r="E3" s="31">
        <v>23</v>
      </c>
      <c r="F3" s="31">
        <v>79</v>
      </c>
      <c r="G3" s="74">
        <v>24.49</v>
      </c>
      <c r="H3" s="74">
        <v>15.2</v>
      </c>
      <c r="I3" s="74">
        <v>1.26</v>
      </c>
      <c r="J3" s="12"/>
      <c r="K3" s="74">
        <v>16.48</v>
      </c>
      <c r="L3" s="74">
        <v>1.73</v>
      </c>
      <c r="M3" s="74">
        <v>0.42</v>
      </c>
      <c r="N3" s="74">
        <v>30.08</v>
      </c>
      <c r="O3" s="12"/>
      <c r="P3" s="74">
        <v>0.57999999999999996</v>
      </c>
      <c r="Q3" s="59">
        <v>0</v>
      </c>
      <c r="R3" s="12"/>
      <c r="S3" s="12"/>
      <c r="T3" s="12"/>
      <c r="U3" s="59">
        <v>0</v>
      </c>
      <c r="V3" s="12"/>
      <c r="W3" s="74">
        <v>7.97</v>
      </c>
      <c r="X3" s="59">
        <v>0</v>
      </c>
      <c r="Y3" s="74">
        <v>0.34</v>
      </c>
      <c r="Z3" s="12"/>
      <c r="AA3" s="12"/>
      <c r="AB3" s="12"/>
      <c r="AC3" s="59">
        <v>98.66</v>
      </c>
      <c r="AD3" s="60">
        <v>26.824959131868088</v>
      </c>
      <c r="AE3" s="60">
        <v>11.555288683545134</v>
      </c>
      <c r="AF3" s="60">
        <v>308.32913685735321</v>
      </c>
      <c r="AG3" s="60">
        <v>75783.191777227083</v>
      </c>
      <c r="AH3" s="60">
        <v>172.23304263779428</v>
      </c>
      <c r="AI3" s="60">
        <v>204.58702309092041</v>
      </c>
      <c r="AJ3" s="60">
        <v>450.04943652022627</v>
      </c>
      <c r="AK3" s="60">
        <v>519.80648580581885</v>
      </c>
      <c r="AL3" s="60">
        <v>605.39554449504237</v>
      </c>
      <c r="AM3" s="60">
        <v>1305.4874612597935</v>
      </c>
      <c r="AN3" s="60">
        <v>1.3830422264379194</v>
      </c>
      <c r="AO3" s="60">
        <v>5.7972276828058966</v>
      </c>
      <c r="AP3" s="60">
        <v>90.86119918487384</v>
      </c>
      <c r="AQ3" s="60">
        <v>140.11129009469414</v>
      </c>
      <c r="AR3" s="60">
        <v>618.74000660888851</v>
      </c>
      <c r="AS3" s="60">
        <v>95.115768178446743</v>
      </c>
      <c r="AT3" s="60">
        <v>288.42039069373624</v>
      </c>
      <c r="AU3" s="60">
        <v>39.873802133768329</v>
      </c>
      <c r="AV3" s="60">
        <v>262.13160926345273</v>
      </c>
      <c r="AW3" s="60">
        <v>4068.8841820731932</v>
      </c>
      <c r="AX3" s="60">
        <v>1088.1476095573603</v>
      </c>
      <c r="AY3" s="60">
        <v>205232.34590477939</v>
      </c>
      <c r="AZ3" s="60">
        <v>3.3370304493083629</v>
      </c>
      <c r="BA3" s="60">
        <v>27.812965659889514</v>
      </c>
      <c r="BB3" s="60">
        <v>366.66404456967075</v>
      </c>
      <c r="BC3" s="60">
        <v>528.36255341039339</v>
      </c>
      <c r="BD3" s="60">
        <v>94.672836727755666</v>
      </c>
      <c r="BE3" s="60">
        <v>500.36581106473687</v>
      </c>
      <c r="BF3" s="72">
        <f t="shared" ref="BF3:BF29" si="0">AY3/$BJ$1</f>
        <v>34.242892789525001</v>
      </c>
      <c r="BG3" s="37">
        <f>AG3/$BJ$2</f>
        <v>10.236713939636688</v>
      </c>
      <c r="BH3" s="37">
        <f t="shared" ref="BH3:BH34" si="1">AI3/AT3</f>
        <v>0.70933619706577677</v>
      </c>
      <c r="BI3" s="37">
        <f t="shared" ref="BI3:BI34" si="2">BH3*0.604</f>
        <v>0.42843906302772916</v>
      </c>
      <c r="BK3" s="37">
        <f>AI3/BC3</f>
        <v>0.38720954346666608</v>
      </c>
      <c r="BL3" s="37">
        <v>7.9478076661695676</v>
      </c>
      <c r="BM3" s="37">
        <v>29.040373401195865</v>
      </c>
      <c r="BN3" s="37">
        <v>5.4132264411152202E-2</v>
      </c>
      <c r="BO3" s="37">
        <v>2.8849675286598155</v>
      </c>
      <c r="BP3" s="70">
        <f t="shared" ref="BP3:BP10" si="3">AH3+AI3+BB3+BE3+BC3+AR3+AQ3+BD3+AT3+AU3</f>
        <v>2954.0308010323588</v>
      </c>
      <c r="BQ3" s="37">
        <f t="shared" ref="BQ3:BQ10" si="4">AG3/AM3</f>
        <v>58.049727803663785</v>
      </c>
      <c r="BR3" s="37">
        <f t="shared" ref="BR3:BR34" si="5">AN3/AO3</f>
        <v>0.23856958913997972</v>
      </c>
      <c r="BS3" s="37">
        <v>0.34934726294607799</v>
      </c>
      <c r="BT3" s="37">
        <f>AI3/AT3</f>
        <v>0.70933619706577677</v>
      </c>
    </row>
    <row r="4" spans="1:73" x14ac:dyDescent="0.35">
      <c r="BF4" s="72"/>
      <c r="BH4" s="37" t="e">
        <f t="shared" si="1"/>
        <v>#DIV/0!</v>
      </c>
      <c r="BI4" s="37" t="e">
        <f t="shared" si="2"/>
        <v>#DIV/0!</v>
      </c>
      <c r="BK4" s="37" t="e">
        <f t="shared" ref="BK4:BK34" si="6">AI4/BC4</f>
        <v>#DIV/0!</v>
      </c>
      <c r="BP4" s="70"/>
      <c r="BQ4" s="37"/>
      <c r="BR4" s="37" t="e">
        <f t="shared" si="5"/>
        <v>#DIV/0!</v>
      </c>
    </row>
    <row r="5" spans="1:73" s="37" customFormat="1" x14ac:dyDescent="0.35">
      <c r="B5" s="69"/>
      <c r="C5" s="62"/>
      <c r="D5" s="31"/>
      <c r="E5" s="31"/>
      <c r="F5" s="3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0"/>
      <c r="BF5" s="72"/>
      <c r="BH5" s="37" t="e">
        <f t="shared" si="1"/>
        <v>#DIV/0!</v>
      </c>
      <c r="BI5" s="37" t="e">
        <f t="shared" si="2"/>
        <v>#DIV/0!</v>
      </c>
      <c r="BK5" s="37" t="e">
        <f t="shared" si="6"/>
        <v>#DIV/0!</v>
      </c>
      <c r="BP5" s="70"/>
      <c r="BR5" s="37" t="e">
        <f t="shared" si="5"/>
        <v>#DIV/0!</v>
      </c>
    </row>
    <row r="6" spans="1:73" s="37" customFormat="1" x14ac:dyDescent="0.35">
      <c r="A6" s="37" t="s">
        <v>121</v>
      </c>
      <c r="B6" s="69" t="s">
        <v>150</v>
      </c>
      <c r="C6" s="18">
        <v>11</v>
      </c>
      <c r="D6" s="18">
        <v>28.37</v>
      </c>
      <c r="E6" s="18">
        <v>20</v>
      </c>
      <c r="F6" s="18">
        <v>71</v>
      </c>
      <c r="G6" s="13">
        <v>28.37</v>
      </c>
      <c r="H6" s="13">
        <v>17.48</v>
      </c>
      <c r="I6" s="13">
        <v>0.78</v>
      </c>
      <c r="J6" s="13"/>
      <c r="K6" s="13">
        <v>17.73</v>
      </c>
      <c r="L6" s="13">
        <v>1.0900000000000001</v>
      </c>
      <c r="M6" s="13">
        <v>0.41</v>
      </c>
      <c r="N6" s="13">
        <v>31.13</v>
      </c>
      <c r="O6" s="13"/>
      <c r="P6" s="13">
        <v>0.47</v>
      </c>
      <c r="Q6" s="13"/>
      <c r="R6" s="13"/>
      <c r="S6" s="13"/>
      <c r="T6" s="13"/>
      <c r="U6" s="13"/>
      <c r="V6" s="13"/>
      <c r="W6" s="13">
        <v>0.52</v>
      </c>
      <c r="X6" s="13">
        <v>0.44</v>
      </c>
      <c r="Y6" s="13"/>
      <c r="Z6" s="13"/>
      <c r="AA6" s="13"/>
      <c r="AB6" s="13"/>
      <c r="AC6" s="13">
        <v>98.41</v>
      </c>
      <c r="AD6" s="60">
        <v>16.82848324408161</v>
      </c>
      <c r="AE6" s="60">
        <v>-7.8980636551091647</v>
      </c>
      <c r="AF6" s="60">
        <v>354.36418249386548</v>
      </c>
      <c r="AG6" s="60">
        <v>8252.004401415983</v>
      </c>
      <c r="AH6" s="60">
        <v>514.39340935215353</v>
      </c>
      <c r="AI6" s="60">
        <v>109.17763944052858</v>
      </c>
      <c r="AJ6" s="60">
        <v>257.81042533798512</v>
      </c>
      <c r="AK6" s="60">
        <v>70.249815204968215</v>
      </c>
      <c r="AL6" s="60">
        <v>72.017679710340218</v>
      </c>
      <c r="AM6" s="60">
        <v>118.24256538313465</v>
      </c>
      <c r="AN6" s="60">
        <v>16.408060284354725</v>
      </c>
      <c r="AO6" s="60">
        <v>12.592618360094495</v>
      </c>
      <c r="AP6" s="60">
        <v>43.093545368846392</v>
      </c>
      <c r="AQ6" s="60">
        <v>20.60946416517254</v>
      </c>
      <c r="AR6" s="60">
        <v>97.341863785017281</v>
      </c>
      <c r="AS6" s="60">
        <v>35.716830128061481</v>
      </c>
      <c r="AT6" s="60">
        <v>386.36411137276423</v>
      </c>
      <c r="AU6" s="60">
        <v>170.50922651174014</v>
      </c>
      <c r="AV6" s="60">
        <v>4643.1748755097206</v>
      </c>
      <c r="AW6" s="60">
        <v>541.50899146644224</v>
      </c>
      <c r="AX6" s="60">
        <v>653.36166148270672</v>
      </c>
      <c r="AY6" s="60">
        <v>155343.36856960534</v>
      </c>
      <c r="AZ6" s="60">
        <v>8.9548100170221048</v>
      </c>
      <c r="BA6" s="60">
        <v>38.157365133525282</v>
      </c>
      <c r="BB6" s="60">
        <v>116.5361617745488</v>
      </c>
      <c r="BC6" s="60">
        <v>48.694134539068564</v>
      </c>
      <c r="BD6" s="60">
        <v>36.098421385178739</v>
      </c>
      <c r="BE6" s="60">
        <v>62.837153948880214</v>
      </c>
      <c r="BF6" s="72">
        <f t="shared" si="0"/>
        <v>25.918947094044725</v>
      </c>
      <c r="BG6" s="37">
        <f t="shared" ref="BG6:BG12" si="7">AG6/$BJ$2</f>
        <v>1.1146720863148263</v>
      </c>
      <c r="BH6" s="37">
        <f t="shared" si="1"/>
        <v>0.28257707231817386</v>
      </c>
      <c r="BI6" s="37">
        <f t="shared" si="2"/>
        <v>0.17067655168017701</v>
      </c>
      <c r="BK6" s="37">
        <f t="shared" si="6"/>
        <v>2.2421106869233407</v>
      </c>
      <c r="BL6" s="37">
        <v>0.99184253949895573</v>
      </c>
      <c r="BM6" s="37">
        <v>26.274772945408539</v>
      </c>
      <c r="BN6" s="37">
        <v>2.5117233808503254</v>
      </c>
      <c r="BO6" s="37">
        <v>107.74641157435168</v>
      </c>
      <c r="BP6" s="70">
        <f t="shared" si="3"/>
        <v>1562.5615862750524</v>
      </c>
      <c r="BQ6" s="37">
        <f t="shared" si="4"/>
        <v>69.788780162858302</v>
      </c>
      <c r="BR6" s="37">
        <f t="shared" si="5"/>
        <v>1.302990356346478</v>
      </c>
      <c r="BS6" s="37">
        <v>0.51632412593297594</v>
      </c>
      <c r="BT6" s="37">
        <f t="shared" ref="BT6:BT8" si="8">AI6/AT6</f>
        <v>0.28257707231817386</v>
      </c>
    </row>
    <row r="7" spans="1:73" s="37" customFormat="1" x14ac:dyDescent="0.35">
      <c r="A7" s="37" t="s">
        <v>121</v>
      </c>
      <c r="B7" s="69" t="s">
        <v>150</v>
      </c>
      <c r="C7" s="18">
        <v>12</v>
      </c>
      <c r="D7" s="18">
        <v>27.19</v>
      </c>
      <c r="E7" s="18">
        <v>20</v>
      </c>
      <c r="F7" s="18">
        <v>72</v>
      </c>
      <c r="G7" s="13">
        <v>27.19</v>
      </c>
      <c r="H7" s="13">
        <v>18.579999999999998</v>
      </c>
      <c r="I7" s="13">
        <v>0.97</v>
      </c>
      <c r="J7" s="13"/>
      <c r="K7" s="13">
        <v>17.07</v>
      </c>
      <c r="L7" s="13">
        <v>1.32</v>
      </c>
      <c r="M7" s="13">
        <v>0.37</v>
      </c>
      <c r="N7" s="13">
        <v>31.21</v>
      </c>
      <c r="O7" s="13"/>
      <c r="P7" s="13">
        <v>0.39</v>
      </c>
      <c r="Q7" s="13"/>
      <c r="R7" s="13"/>
      <c r="S7" s="13"/>
      <c r="T7" s="13"/>
      <c r="U7" s="13"/>
      <c r="V7" s="13"/>
      <c r="W7" s="13">
        <v>0.76</v>
      </c>
      <c r="X7" s="13">
        <v>0.28999999999999998</v>
      </c>
      <c r="Y7" s="13"/>
      <c r="Z7" s="13"/>
      <c r="AA7" s="13"/>
      <c r="AB7" s="13"/>
      <c r="AC7" s="13">
        <v>98.16</v>
      </c>
      <c r="AD7" s="60">
        <v>17.499474064935114</v>
      </c>
      <c r="AE7" s="60">
        <v>7.7176914458171044</v>
      </c>
      <c r="AF7" s="60">
        <v>353.4979813781232</v>
      </c>
      <c r="AG7" s="60">
        <v>8953.2925517333297</v>
      </c>
      <c r="AH7" s="60">
        <v>482.81437159881932</v>
      </c>
      <c r="AI7" s="60">
        <v>126.78159503577045</v>
      </c>
      <c r="AJ7" s="60">
        <v>281.88009825912866</v>
      </c>
      <c r="AK7" s="60">
        <v>96.315235582886032</v>
      </c>
      <c r="AL7" s="60">
        <v>104.76118284080783</v>
      </c>
      <c r="AM7" s="60">
        <v>168.18489717341913</v>
      </c>
      <c r="AN7" s="60">
        <v>11.453377023213545</v>
      </c>
      <c r="AO7" s="60">
        <v>10.346472316268192</v>
      </c>
      <c r="AP7" s="60">
        <v>45.339977779705073</v>
      </c>
      <c r="AQ7" s="60">
        <v>29.540593302215452</v>
      </c>
      <c r="AR7" s="60">
        <v>143.08908863510192</v>
      </c>
      <c r="AS7" s="60">
        <v>47.378549932958855</v>
      </c>
      <c r="AT7" s="60">
        <v>417.00786390907967</v>
      </c>
      <c r="AU7" s="60">
        <v>158.46151372518486</v>
      </c>
      <c r="AV7" s="60">
        <v>3137.99570192486</v>
      </c>
      <c r="AW7" s="60">
        <v>768.04133366783265</v>
      </c>
      <c r="AX7" s="60">
        <v>590.70417090514297</v>
      </c>
      <c r="AY7" s="60">
        <v>161983.1226648736</v>
      </c>
      <c r="AZ7" s="60">
        <v>10.162889787478592</v>
      </c>
      <c r="BA7" s="60">
        <v>30.833656487031782</v>
      </c>
      <c r="BB7" s="60">
        <v>130.2232103098323</v>
      </c>
      <c r="BC7" s="60">
        <v>78.436417520411837</v>
      </c>
      <c r="BD7" s="60">
        <v>47.265159594838586</v>
      </c>
      <c r="BE7" s="60">
        <v>86.609530905303473</v>
      </c>
      <c r="BF7" s="72">
        <f t="shared" si="0"/>
        <v>27.026786049111628</v>
      </c>
      <c r="BG7" s="37">
        <f t="shared" si="7"/>
        <v>1.2094013529991687</v>
      </c>
      <c r="BH7" s="37">
        <f t="shared" si="1"/>
        <v>0.30402686857582301</v>
      </c>
      <c r="BI7" s="37">
        <f t="shared" si="2"/>
        <v>0.18363222861979708</v>
      </c>
      <c r="BK7" s="37">
        <f t="shared" si="6"/>
        <v>1.6163613668711674</v>
      </c>
      <c r="BL7" s="37">
        <v>1.2393367449753452</v>
      </c>
      <c r="BM7" s="37">
        <v>25.999522955086753</v>
      </c>
      <c r="BN7" s="37">
        <v>1.4491275931119314</v>
      </c>
      <c r="BO7" s="37">
        <v>69.210349355960176</v>
      </c>
      <c r="BP7" s="70">
        <f t="shared" si="3"/>
        <v>1700.2293445365581</v>
      </c>
      <c r="BQ7" s="37">
        <f t="shared" si="4"/>
        <v>53.234818953460447</v>
      </c>
      <c r="BR7" s="37">
        <f t="shared" si="5"/>
        <v>1.1069837789257813</v>
      </c>
      <c r="BS7" s="37">
        <v>0.56863080151854495</v>
      </c>
      <c r="BT7" s="37">
        <f t="shared" si="8"/>
        <v>0.30402686857582301</v>
      </c>
      <c r="BU7" s="37" t="s">
        <v>184</v>
      </c>
    </row>
    <row r="8" spans="1:73" s="37" customFormat="1" x14ac:dyDescent="0.35">
      <c r="A8" s="37" t="s">
        <v>121</v>
      </c>
      <c r="B8" s="69" t="s">
        <v>150</v>
      </c>
      <c r="C8" s="18">
        <v>13</v>
      </c>
      <c r="D8" s="18">
        <v>30.62</v>
      </c>
      <c r="E8" s="18">
        <v>20</v>
      </c>
      <c r="F8" s="18">
        <v>73</v>
      </c>
      <c r="G8" s="13">
        <v>30.62</v>
      </c>
      <c r="H8" s="13">
        <v>13.38</v>
      </c>
      <c r="I8" s="13">
        <v>0.79</v>
      </c>
      <c r="J8" s="13"/>
      <c r="K8" s="13">
        <v>18.86</v>
      </c>
      <c r="L8" s="13">
        <v>0.77</v>
      </c>
      <c r="M8" s="13">
        <v>0.4</v>
      </c>
      <c r="N8" s="13">
        <v>32.630000000000003</v>
      </c>
      <c r="O8" s="13"/>
      <c r="P8" s="13">
        <v>0.46</v>
      </c>
      <c r="Q8" s="13"/>
      <c r="R8" s="13"/>
      <c r="S8" s="13"/>
      <c r="T8" s="13"/>
      <c r="U8" s="13"/>
      <c r="V8" s="13"/>
      <c r="W8" s="13">
        <v>0.52</v>
      </c>
      <c r="X8" s="13">
        <v>0.4</v>
      </c>
      <c r="Y8" s="13"/>
      <c r="Z8" s="13"/>
      <c r="AA8" s="13"/>
      <c r="AB8" s="13"/>
      <c r="AC8" s="13">
        <v>98.83</v>
      </c>
      <c r="AD8" s="60">
        <v>22.906803514593047</v>
      </c>
      <c r="AE8" s="60">
        <v>-360.75596792778128</v>
      </c>
      <c r="AF8" s="60">
        <v>12160.476010672568</v>
      </c>
      <c r="AG8" s="60">
        <v>7061.1784261109005</v>
      </c>
      <c r="AH8" s="60">
        <v>584.04861464772375</v>
      </c>
      <c r="AI8" s="60">
        <v>80.434363362798464</v>
      </c>
      <c r="AJ8" s="60">
        <v>220.71931184340642</v>
      </c>
      <c r="AK8" s="60">
        <v>58.268804019460688</v>
      </c>
      <c r="AL8" s="60">
        <v>72.883443035294306</v>
      </c>
      <c r="AM8" s="60">
        <v>133.1705102744624</v>
      </c>
      <c r="AN8" s="60">
        <v>7.9918878915908866</v>
      </c>
      <c r="AO8" s="60">
        <v>19.130986195496806</v>
      </c>
      <c r="AP8" s="60">
        <v>25.282921077782518</v>
      </c>
      <c r="AQ8" s="60">
        <v>16.950912866123019</v>
      </c>
      <c r="AR8" s="60">
        <v>81.493515299188445</v>
      </c>
      <c r="AS8" s="60">
        <v>37.891984785616913</v>
      </c>
      <c r="AT8" s="60">
        <v>291.54754280361067</v>
      </c>
      <c r="AU8" s="60">
        <v>350.47007029655953</v>
      </c>
      <c r="AV8" s="60">
        <v>4707.2347391554658</v>
      </c>
      <c r="AW8" s="60">
        <v>485.49915925254709</v>
      </c>
      <c r="AX8" s="60">
        <v>3430.6765163018704</v>
      </c>
      <c r="AY8" s="60">
        <v>156306.31217861653</v>
      </c>
      <c r="AZ8" s="60">
        <v>23.091757099620303</v>
      </c>
      <c r="BA8" s="60">
        <v>78.118080362859672</v>
      </c>
      <c r="BB8" s="60">
        <v>75.680525968323863</v>
      </c>
      <c r="BC8" s="60">
        <v>56.248096150880549</v>
      </c>
      <c r="BD8" s="60">
        <v>28.595385659198634</v>
      </c>
      <c r="BE8" s="60">
        <v>52.396860060552136</v>
      </c>
      <c r="BF8" s="72">
        <v>26.079613652819173</v>
      </c>
      <c r="BG8" s="37">
        <v>0.95381656446083463</v>
      </c>
      <c r="BH8" s="37">
        <f t="shared" si="1"/>
        <v>0.27588763942003058</v>
      </c>
      <c r="BI8" s="37">
        <f t="shared" si="2"/>
        <v>0.16663613420969847</v>
      </c>
      <c r="BK8" s="37">
        <f t="shared" si="6"/>
        <v>1.4299926373870573</v>
      </c>
      <c r="BL8" s="37">
        <v>0.35550655120970992</v>
      </c>
      <c r="BM8" s="37">
        <v>28.641475717973503</v>
      </c>
      <c r="BN8" s="37">
        <v>4.4693429777910785</v>
      </c>
      <c r="BO8" s="37">
        <v>186.18239263864055</v>
      </c>
      <c r="BP8" s="70">
        <v>1617.8658871149589</v>
      </c>
      <c r="BQ8" s="37">
        <v>53.023589168186852</v>
      </c>
      <c r="BR8" s="37">
        <f t="shared" si="5"/>
        <v>0.41774573510863106</v>
      </c>
      <c r="BS8" s="37">
        <v>0.23131711422710327</v>
      </c>
      <c r="BT8" s="37">
        <f t="shared" si="8"/>
        <v>0.27588763942003058</v>
      </c>
    </row>
    <row r="9" spans="1:73" s="37" customFormat="1" x14ac:dyDescent="0.35">
      <c r="B9" s="69"/>
      <c r="C9" s="18"/>
      <c r="D9" s="18"/>
      <c r="E9" s="18"/>
      <c r="F9" s="18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0"/>
      <c r="BF9" s="72"/>
      <c r="BH9" s="37" t="e">
        <f t="shared" si="1"/>
        <v>#DIV/0!</v>
      </c>
      <c r="BI9" s="37" t="e">
        <f t="shared" si="2"/>
        <v>#DIV/0!</v>
      </c>
      <c r="BK9" s="37" t="e">
        <f t="shared" si="6"/>
        <v>#DIV/0!</v>
      </c>
      <c r="BP9" s="70"/>
      <c r="BR9" s="37" t="e">
        <f t="shared" si="5"/>
        <v>#DIV/0!</v>
      </c>
    </row>
    <row r="10" spans="1:73" s="37" customFormat="1" x14ac:dyDescent="0.35">
      <c r="A10" s="37" t="s">
        <v>121</v>
      </c>
      <c r="B10" s="69" t="s">
        <v>150</v>
      </c>
      <c r="C10" s="20">
        <v>16</v>
      </c>
      <c r="D10" s="20">
        <v>28.28</v>
      </c>
      <c r="E10" s="20">
        <v>21</v>
      </c>
      <c r="F10" s="20">
        <v>75</v>
      </c>
      <c r="G10" s="13">
        <v>28.28</v>
      </c>
      <c r="H10" s="13">
        <v>17.239999999999998</v>
      </c>
      <c r="I10" s="13">
        <v>0.76</v>
      </c>
      <c r="J10" s="13"/>
      <c r="K10" s="13">
        <v>17.8</v>
      </c>
      <c r="L10" s="13">
        <v>1.1399999999999999</v>
      </c>
      <c r="M10" s="13">
        <v>0.41</v>
      </c>
      <c r="N10" s="13">
        <v>31.15</v>
      </c>
      <c r="O10" s="13"/>
      <c r="P10" s="13">
        <v>0.47</v>
      </c>
      <c r="Q10" s="13"/>
      <c r="R10" s="13"/>
      <c r="S10" s="13"/>
      <c r="T10" s="13"/>
      <c r="U10" s="13"/>
      <c r="V10" s="13"/>
      <c r="W10" s="13">
        <v>0.59</v>
      </c>
      <c r="X10" s="13">
        <v>0.48</v>
      </c>
      <c r="Y10" s="13"/>
      <c r="Z10" s="13"/>
      <c r="AA10" s="13"/>
      <c r="AB10" s="13"/>
      <c r="AC10" s="13">
        <v>98.3</v>
      </c>
      <c r="AD10" s="60">
        <v>21.145435640227049</v>
      </c>
      <c r="AE10" s="60">
        <v>13.220420491439189</v>
      </c>
      <c r="AF10" s="60">
        <v>401.76143197211621</v>
      </c>
      <c r="AG10" s="60">
        <v>6770.9198031620072</v>
      </c>
      <c r="AH10" s="60">
        <v>387.62675944056366</v>
      </c>
      <c r="AI10" s="60">
        <v>95.506861315062267</v>
      </c>
      <c r="AJ10" s="60">
        <v>214.83012022966892</v>
      </c>
      <c r="AK10" s="60">
        <v>57.591841235378752</v>
      </c>
      <c r="AL10" s="60">
        <v>64.096594947587704</v>
      </c>
      <c r="AM10" s="60">
        <v>120.48435115792323</v>
      </c>
      <c r="AN10" s="60">
        <v>11.100646418719553</v>
      </c>
      <c r="AO10" s="60">
        <v>10.16144956555625</v>
      </c>
      <c r="AP10" s="60">
        <v>36.135516792163251</v>
      </c>
      <c r="AQ10" s="60">
        <v>17.87278066147864</v>
      </c>
      <c r="AR10" s="60">
        <v>87.725784584077076</v>
      </c>
      <c r="AS10" s="60">
        <v>31.258230079612545</v>
      </c>
      <c r="AT10" s="60">
        <v>310.99155938331597</v>
      </c>
      <c r="AU10" s="60">
        <v>123.35784940936045</v>
      </c>
      <c r="AV10" s="60">
        <v>3233.7511441514112</v>
      </c>
      <c r="AW10" s="60">
        <v>477.06803702917426</v>
      </c>
      <c r="AX10" s="60">
        <v>1018.9026998168231</v>
      </c>
      <c r="AY10" s="60">
        <v>119980.16587021828</v>
      </c>
      <c r="AZ10" s="60">
        <v>6.6425869121169363</v>
      </c>
      <c r="BA10" s="60">
        <v>85.926344927558503</v>
      </c>
      <c r="BB10" s="60">
        <v>92.570539968442645</v>
      </c>
      <c r="BC10" s="60">
        <v>45.535683237695459</v>
      </c>
      <c r="BD10" s="60">
        <v>31.34684601876463</v>
      </c>
      <c r="BE10" s="60">
        <v>51.154896292427424</v>
      </c>
      <c r="BF10" s="72">
        <f t="shared" si="0"/>
        <v>20.018618111345351</v>
      </c>
      <c r="BG10" s="37">
        <f t="shared" si="7"/>
        <v>0.91460873457191771</v>
      </c>
      <c r="BH10" s="37">
        <f t="shared" si="1"/>
        <v>0.30710435197806851</v>
      </c>
      <c r="BI10" s="37">
        <f t="shared" si="2"/>
        <v>0.18549102859475339</v>
      </c>
      <c r="BK10" s="37">
        <f t="shared" si="6"/>
        <v>2.0974070119145494</v>
      </c>
      <c r="BL10" s="37">
        <v>1.1992913427798517</v>
      </c>
      <c r="BM10" s="37">
        <v>26.692435053343612</v>
      </c>
      <c r="BN10" s="37">
        <v>1.9431910765392733</v>
      </c>
      <c r="BO10" s="37">
        <v>89.4895502048754</v>
      </c>
      <c r="BP10" s="70">
        <f t="shared" si="3"/>
        <v>1243.6895603111882</v>
      </c>
      <c r="BQ10" s="37">
        <f t="shared" si="4"/>
        <v>56.197503975326356</v>
      </c>
      <c r="BR10" s="37">
        <f t="shared" si="5"/>
        <v>1.0924274481809022</v>
      </c>
      <c r="BS10" s="37">
        <v>0.48004577941368937</v>
      </c>
      <c r="BT10" s="37">
        <f>AI10/AT10</f>
        <v>0.30710435197806851</v>
      </c>
    </row>
    <row r="11" spans="1:73" s="37" customFormat="1" x14ac:dyDescent="0.35">
      <c r="B11" s="69"/>
      <c r="C11" s="20"/>
      <c r="D11" s="20"/>
      <c r="E11" s="20"/>
      <c r="F11" s="20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0"/>
      <c r="BF11" s="72"/>
      <c r="BH11" s="37" t="e">
        <f t="shared" si="1"/>
        <v>#DIV/0!</v>
      </c>
      <c r="BI11" s="37" t="e">
        <f t="shared" si="2"/>
        <v>#DIV/0!</v>
      </c>
      <c r="BK11" s="37" t="e">
        <f t="shared" si="6"/>
        <v>#DIV/0!</v>
      </c>
      <c r="BP11" s="70"/>
      <c r="BR11" s="37" t="e">
        <f t="shared" si="5"/>
        <v>#DIV/0!</v>
      </c>
    </row>
    <row r="12" spans="1:73" s="37" customFormat="1" x14ac:dyDescent="0.35">
      <c r="A12" s="37" t="s">
        <v>118</v>
      </c>
      <c r="B12" s="69" t="s">
        <v>150</v>
      </c>
      <c r="C12" s="31">
        <v>26</v>
      </c>
      <c r="D12" s="31">
        <v>28.03</v>
      </c>
      <c r="E12" s="31">
        <v>15</v>
      </c>
      <c r="F12" s="31">
        <v>60</v>
      </c>
      <c r="G12" s="13">
        <v>28.03</v>
      </c>
      <c r="H12" s="13">
        <v>16.25</v>
      </c>
      <c r="I12" s="13">
        <v>0.72</v>
      </c>
      <c r="J12" s="13"/>
      <c r="K12" s="13">
        <v>16.21</v>
      </c>
      <c r="L12" s="13">
        <v>1.07</v>
      </c>
      <c r="M12" s="13">
        <v>0.51</v>
      </c>
      <c r="N12" s="13">
        <v>30.03</v>
      </c>
      <c r="O12" s="13"/>
      <c r="P12" s="13">
        <v>0.86</v>
      </c>
      <c r="Q12" s="13"/>
      <c r="R12" s="13"/>
      <c r="S12" s="13"/>
      <c r="T12" s="13"/>
      <c r="U12" s="13"/>
      <c r="V12" s="13"/>
      <c r="W12" s="13">
        <v>2.5</v>
      </c>
      <c r="X12" s="13">
        <v>1.3</v>
      </c>
      <c r="Y12" s="13"/>
      <c r="Z12" s="13">
        <v>0.35</v>
      </c>
      <c r="AA12" s="13"/>
      <c r="AB12" s="13"/>
      <c r="AC12" s="13">
        <v>97.84</v>
      </c>
      <c r="AD12" s="60">
        <v>16.101493617919509</v>
      </c>
      <c r="AE12" s="60">
        <v>7.5665259797234645</v>
      </c>
      <c r="AF12" s="60">
        <v>301.56436910010132</v>
      </c>
      <c r="AG12" s="60">
        <v>16400.555297654599</v>
      </c>
      <c r="AH12" s="60">
        <v>278.01963989700192</v>
      </c>
      <c r="AI12" s="60">
        <v>107.00869074994699</v>
      </c>
      <c r="AJ12" s="60">
        <v>220.63404702545145</v>
      </c>
      <c r="AK12" s="60">
        <v>164.10924665482761</v>
      </c>
      <c r="AL12" s="60">
        <v>166.40044178690297</v>
      </c>
      <c r="AM12" s="60">
        <v>232.47848744491165</v>
      </c>
      <c r="AN12" s="60">
        <v>9.622606468289014</v>
      </c>
      <c r="AO12" s="60">
        <v>56.166388480933968</v>
      </c>
      <c r="AP12" s="60">
        <v>37.718939795027836</v>
      </c>
      <c r="AQ12" s="60">
        <v>45.97545715132636</v>
      </c>
      <c r="AR12" s="60">
        <v>202.14862054925413</v>
      </c>
      <c r="AS12" s="60">
        <v>42.267737154196254</v>
      </c>
      <c r="AT12" s="60">
        <v>226.77414636809749</v>
      </c>
      <c r="AU12" s="60">
        <v>110.41767953797338</v>
      </c>
      <c r="AV12" s="60">
        <v>11813.968930041632</v>
      </c>
      <c r="AW12" s="60">
        <v>1142.2973648338614</v>
      </c>
      <c r="AX12" s="60">
        <v>1199.6322833360136</v>
      </c>
      <c r="AY12" s="60">
        <v>127669.84757731676</v>
      </c>
      <c r="AZ12" s="60">
        <v>6.3724175095793276</v>
      </c>
      <c r="BA12" s="60">
        <v>34.35057399247917</v>
      </c>
      <c r="BB12" s="60">
        <v>130.54156033306828</v>
      </c>
      <c r="BC12" s="60">
        <v>139.9222918506949</v>
      </c>
      <c r="BD12" s="60">
        <v>43.214540826827239</v>
      </c>
      <c r="BE12" s="60">
        <v>155.23531975734346</v>
      </c>
      <c r="BF12" s="72">
        <f t="shared" si="0"/>
        <v>21.301636853449068</v>
      </c>
      <c r="BG12" s="37">
        <f t="shared" si="7"/>
        <v>2.2153697818219054</v>
      </c>
      <c r="BH12" s="37">
        <f t="shared" si="1"/>
        <v>0.47187341442463893</v>
      </c>
      <c r="BI12" s="37">
        <f t="shared" si="2"/>
        <v>0.28501154231248188</v>
      </c>
      <c r="BK12" s="37">
        <f t="shared" si="6"/>
        <v>0.76477228420566035</v>
      </c>
      <c r="BL12" s="37">
        <f>AI12/AU12</f>
        <v>0.96912642248695313</v>
      </c>
      <c r="BM12" s="37">
        <f>AW12/AQ12</f>
        <v>24.84580764632825</v>
      </c>
      <c r="BN12" s="37">
        <f>AU12/AL12</f>
        <v>0.66356602393746844</v>
      </c>
      <c r="BO12" s="37">
        <f>AV12/AP12</f>
        <v>313.21052485146907</v>
      </c>
      <c r="BP12" s="70">
        <f>AH12+AI12+AJ12+AK12+AQ12+AR12+AS12+AT12+AU12</f>
        <v>1397.3552650880756</v>
      </c>
      <c r="BQ12" s="69">
        <f>AG12/AM12</f>
        <v>70.546550254637609</v>
      </c>
      <c r="BR12" s="37">
        <f t="shared" si="5"/>
        <v>0.17132321889550489</v>
      </c>
      <c r="BS12" s="37">
        <v>0.49678863851162924</v>
      </c>
      <c r="BT12" s="37">
        <f t="shared" ref="BT12:BT34" si="9">AI12/AT12</f>
        <v>0.47187341442463893</v>
      </c>
      <c r="BU12" s="37" t="s">
        <v>190</v>
      </c>
    </row>
    <row r="13" spans="1:73" x14ac:dyDescent="0.35">
      <c r="BF13" s="72"/>
      <c r="BH13" s="37" t="e">
        <f t="shared" si="1"/>
        <v>#DIV/0!</v>
      </c>
      <c r="BI13" s="37" t="e">
        <f t="shared" si="2"/>
        <v>#DIV/0!</v>
      </c>
      <c r="BK13" s="37" t="e">
        <f t="shared" si="6"/>
        <v>#DIV/0!</v>
      </c>
      <c r="BR13" s="37" t="e">
        <f t="shared" si="5"/>
        <v>#DIV/0!</v>
      </c>
      <c r="BT13" s="37"/>
    </row>
    <row r="14" spans="1:73" s="37" customFormat="1" x14ac:dyDescent="0.35">
      <c r="A14" s="37" t="s">
        <v>117</v>
      </c>
      <c r="B14" s="37" t="s">
        <v>152</v>
      </c>
      <c r="C14" s="58">
        <v>15</v>
      </c>
      <c r="D14" s="58">
        <v>35.86</v>
      </c>
      <c r="E14" s="58">
        <v>10</v>
      </c>
      <c r="F14" s="58">
        <v>56</v>
      </c>
      <c r="G14" s="59">
        <v>35.86</v>
      </c>
      <c r="H14" s="59">
        <v>0.66</v>
      </c>
      <c r="I14" s="59">
        <v>5.09</v>
      </c>
      <c r="J14" s="59">
        <v>0</v>
      </c>
      <c r="K14" s="59">
        <v>20.02</v>
      </c>
      <c r="L14" s="59">
        <v>0.67</v>
      </c>
      <c r="M14" s="59">
        <v>0.45</v>
      </c>
      <c r="N14" s="59">
        <v>33.369999999999997</v>
      </c>
      <c r="O14" s="12"/>
      <c r="P14" s="59">
        <v>0.08</v>
      </c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59">
        <v>96.32</v>
      </c>
      <c r="AD14" s="60">
        <v>120.54017537237424</v>
      </c>
      <c r="AE14" s="60">
        <v>41.048473431131995</v>
      </c>
      <c r="AF14" s="60">
        <v>6011.1495824506283</v>
      </c>
      <c r="AG14" s="60">
        <v>733.82623374611546</v>
      </c>
      <c r="AH14" s="60">
        <v>1781.6996191126852</v>
      </c>
      <c r="AI14" s="60">
        <v>45.304598652443381</v>
      </c>
      <c r="AJ14" s="60">
        <v>450.24065450441094</v>
      </c>
      <c r="AK14" s="60">
        <v>10.102138545218216</v>
      </c>
      <c r="AL14" s="60">
        <v>16.087784069203074</v>
      </c>
      <c r="AM14" s="60">
        <v>9.9514344843991847</v>
      </c>
      <c r="AN14" s="60">
        <v>33.439828910165232</v>
      </c>
      <c r="AO14" s="60">
        <v>30.845800590337603</v>
      </c>
      <c r="AP14" s="60">
        <v>8.5992775472433998</v>
      </c>
      <c r="AQ14" s="60">
        <v>3.0645660389353289</v>
      </c>
      <c r="AR14" s="60">
        <v>16.599864342366985</v>
      </c>
      <c r="AS14" s="60">
        <v>20.104094218997101</v>
      </c>
      <c r="AT14" s="60">
        <v>476.37131147665627</v>
      </c>
      <c r="AU14" s="60">
        <v>1034.0432071935832</v>
      </c>
      <c r="AV14" s="60">
        <v>344.4416643595747</v>
      </c>
      <c r="AW14" s="60">
        <v>67.425012825150063</v>
      </c>
      <c r="AX14" s="60">
        <v>605.18692319440845</v>
      </c>
      <c r="AY14" s="60">
        <v>6393.1942664623257</v>
      </c>
      <c r="AZ14" s="60">
        <v>22.77207509508192</v>
      </c>
      <c r="BA14" s="60">
        <v>31.182327459455824</v>
      </c>
      <c r="BB14" s="60">
        <v>54.955624703023382</v>
      </c>
      <c r="BC14" s="60">
        <v>3.507949109204775</v>
      </c>
      <c r="BD14" s="60">
        <v>11.094916449023792</v>
      </c>
      <c r="BE14" s="60">
        <v>7.8238434246737141</v>
      </c>
      <c r="BF14" s="72">
        <f t="shared" si="0"/>
        <v>1.0667005967502181</v>
      </c>
      <c r="BG14" s="37">
        <f t="shared" ref="BG14:BG16" si="10">AG14/$BJ$2</f>
        <v>9.912447681462401E-2</v>
      </c>
      <c r="BH14" s="37">
        <f t="shared" si="1"/>
        <v>9.5103541210338927E-2</v>
      </c>
      <c r="BI14" s="37">
        <f t="shared" si="2"/>
        <v>5.7442538891044712E-2</v>
      </c>
      <c r="BK14" s="37">
        <f t="shared" si="6"/>
        <v>12.914839195803951</v>
      </c>
      <c r="BL14" s="37">
        <v>6.7867291376114233E-2</v>
      </c>
      <c r="BM14" s="37">
        <v>22.001487965511231</v>
      </c>
      <c r="BN14" s="37">
        <v>211.43942888696822</v>
      </c>
      <c r="BO14" s="37">
        <v>40.05472116317371</v>
      </c>
      <c r="BP14" s="70">
        <f>AH14+AI14+BB14+BE14+BC14+AR14+AQ14+BD14+AT14+AU14</f>
        <v>3434.4655005025961</v>
      </c>
      <c r="BQ14" s="37">
        <f t="shared" ref="BQ14:BQ28" si="11">AG14/AM14</f>
        <v>73.740749124815252</v>
      </c>
      <c r="BR14" s="37">
        <f t="shared" si="5"/>
        <v>1.0840966442816273</v>
      </c>
      <c r="BS14" s="37">
        <v>1E-3</v>
      </c>
      <c r="BT14" s="37">
        <f t="shared" si="9"/>
        <v>9.5103541210338927E-2</v>
      </c>
      <c r="BU14" s="37" t="s">
        <v>188</v>
      </c>
    </row>
    <row r="15" spans="1:73" s="37" customFormat="1" x14ac:dyDescent="0.35">
      <c r="A15" s="37" t="s">
        <v>117</v>
      </c>
      <c r="B15" s="37" t="s">
        <v>152</v>
      </c>
      <c r="C15" s="58">
        <v>16</v>
      </c>
      <c r="D15" s="58">
        <v>35.76</v>
      </c>
      <c r="E15" s="58">
        <v>10</v>
      </c>
      <c r="F15" s="58">
        <v>57</v>
      </c>
      <c r="G15" s="59">
        <v>35.76</v>
      </c>
      <c r="H15" s="59">
        <v>1.1299999999999999</v>
      </c>
      <c r="I15" s="59">
        <v>5.21</v>
      </c>
      <c r="J15" s="59">
        <v>0</v>
      </c>
      <c r="K15" s="59">
        <v>19.41</v>
      </c>
      <c r="L15" s="59">
        <v>0.76</v>
      </c>
      <c r="M15" s="59">
        <v>0.36</v>
      </c>
      <c r="N15" s="59">
        <v>33.28</v>
      </c>
      <c r="O15" s="12"/>
      <c r="P15" s="59">
        <v>0</v>
      </c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59">
        <v>96.07</v>
      </c>
      <c r="AD15" s="60">
        <v>248.67829259464142</v>
      </c>
      <c r="AE15" s="60">
        <v>234.55855182526571</v>
      </c>
      <c r="AF15" s="60">
        <v>1158.1434875010252</v>
      </c>
      <c r="AG15" s="60">
        <v>347.85326018920472</v>
      </c>
      <c r="AH15" s="60">
        <v>596.78776055999094</v>
      </c>
      <c r="AI15" s="60">
        <v>38.624636884219939</v>
      </c>
      <c r="AJ15" s="60">
        <v>159.1541598489359</v>
      </c>
      <c r="AK15" s="60">
        <v>7.0714722873915443</v>
      </c>
      <c r="AL15" s="60">
        <v>8.907737682017963</v>
      </c>
      <c r="AM15" s="60">
        <v>6.5084447949191677</v>
      </c>
      <c r="AN15" s="60">
        <v>29.676709658210164</v>
      </c>
      <c r="AO15" s="60">
        <v>7.2611025567742757</v>
      </c>
      <c r="AP15" s="60">
        <v>8.4415199242474035</v>
      </c>
      <c r="AQ15" s="60">
        <v>2.5745193142094647</v>
      </c>
      <c r="AR15" s="60">
        <v>12.988554168397094</v>
      </c>
      <c r="AS15" s="60">
        <v>26.308437413234326</v>
      </c>
      <c r="AT15" s="60">
        <v>278.86423008937015</v>
      </c>
      <c r="AU15" s="60">
        <v>245.31856585574891</v>
      </c>
      <c r="AV15" s="60">
        <v>253.57488293150232</v>
      </c>
      <c r="AW15" s="60">
        <v>43.156378875041597</v>
      </c>
      <c r="AX15" s="60">
        <v>334.29365617239472</v>
      </c>
      <c r="AY15" s="60">
        <v>5839.1291152453423</v>
      </c>
      <c r="AZ15" s="60">
        <v>18.00900877338837</v>
      </c>
      <c r="BA15" s="60">
        <v>30.284712139549068</v>
      </c>
      <c r="BB15" s="60">
        <v>24.219736577084486</v>
      </c>
      <c r="BC15" s="60">
        <v>4.4451113595983278</v>
      </c>
      <c r="BD15" s="60">
        <v>10.390674857176128</v>
      </c>
      <c r="BE15" s="60">
        <v>4.9377902596776977</v>
      </c>
      <c r="BF15" s="72">
        <f t="shared" si="0"/>
        <v>0.97425516136871226</v>
      </c>
      <c r="BG15" s="37">
        <f t="shared" si="10"/>
        <v>4.6987652987676688E-2</v>
      </c>
      <c r="BH15" s="37">
        <f t="shared" si="1"/>
        <v>0.13850696043677438</v>
      </c>
      <c r="BI15" s="37">
        <f t="shared" si="2"/>
        <v>8.3658204103811723E-2</v>
      </c>
      <c r="BK15" s="37">
        <f t="shared" si="6"/>
        <v>8.6892394272232956</v>
      </c>
      <c r="BL15" s="37">
        <v>0.24388826695921206</v>
      </c>
      <c r="BM15" s="37">
        <v>16.762887983341173</v>
      </c>
      <c r="BN15" s="37">
        <v>39.586613144892318</v>
      </c>
      <c r="BO15" s="37">
        <v>30.039007809853576</v>
      </c>
      <c r="BP15" s="70">
        <f>AH15+AI15+BB15+BE15+BC15+AR15+AQ15+BD15+AT15+AU15</f>
        <v>1219.1515799254732</v>
      </c>
      <c r="BQ15" s="37">
        <f t="shared" si="11"/>
        <v>53.446448598712422</v>
      </c>
      <c r="BR15" s="37">
        <f t="shared" si="5"/>
        <v>4.0870803608913571</v>
      </c>
      <c r="BS15" s="37">
        <v>1E-3</v>
      </c>
      <c r="BT15" s="37">
        <f t="shared" si="9"/>
        <v>0.13850696043677438</v>
      </c>
    </row>
    <row r="16" spans="1:73" s="37" customFormat="1" x14ac:dyDescent="0.35">
      <c r="A16" s="37" t="s">
        <v>117</v>
      </c>
      <c r="B16" s="37" t="s">
        <v>152</v>
      </c>
      <c r="C16" s="58">
        <v>21</v>
      </c>
      <c r="D16" s="58">
        <v>36.24</v>
      </c>
      <c r="E16" s="58">
        <v>10</v>
      </c>
      <c r="F16" s="58">
        <v>59</v>
      </c>
      <c r="G16" s="59">
        <v>36.24</v>
      </c>
      <c r="H16" s="59">
        <v>0.74</v>
      </c>
      <c r="I16" s="59">
        <v>6.18</v>
      </c>
      <c r="J16" s="59">
        <v>0</v>
      </c>
      <c r="K16" s="59">
        <v>19.34</v>
      </c>
      <c r="L16" s="59">
        <v>0.49</v>
      </c>
      <c r="M16" s="59">
        <v>0.15</v>
      </c>
      <c r="N16" s="59">
        <v>34.07</v>
      </c>
      <c r="O16" s="12"/>
      <c r="P16" s="59">
        <v>0</v>
      </c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59">
        <v>97.29</v>
      </c>
      <c r="AD16" s="60">
        <v>72.349975327201193</v>
      </c>
      <c r="AE16" s="60">
        <v>53.664660255689817</v>
      </c>
      <c r="AF16" s="60">
        <v>900.24921022975445</v>
      </c>
      <c r="AG16" s="60">
        <v>158.05261605258315</v>
      </c>
      <c r="AH16" s="60">
        <v>419.29094165839257</v>
      </c>
      <c r="AI16" s="60">
        <v>30.735235402383843</v>
      </c>
      <c r="AJ16" s="60">
        <v>136.17183107196541</v>
      </c>
      <c r="AK16" s="60">
        <v>5.1885101431306682</v>
      </c>
      <c r="AL16" s="60">
        <v>5.0617671581574246</v>
      </c>
      <c r="AM16" s="60">
        <v>4.1268597447855289</v>
      </c>
      <c r="AN16" s="60">
        <v>19.820977720138618</v>
      </c>
      <c r="AO16" s="60">
        <v>5.8725744526879868</v>
      </c>
      <c r="AP16" s="60">
        <v>12.536784107077985</v>
      </c>
      <c r="AQ16" s="60">
        <v>1.7153425996906593</v>
      </c>
      <c r="AR16" s="60">
        <v>9.5774579544696028</v>
      </c>
      <c r="AS16" s="60">
        <v>8.2284188410482688</v>
      </c>
      <c r="AT16" s="60">
        <v>250.70072491292285</v>
      </c>
      <c r="AU16" s="60">
        <v>119.25221274887771</v>
      </c>
      <c r="AV16" s="60">
        <v>1116.6029141456609</v>
      </c>
      <c r="AW16" s="60">
        <v>24.409094218391964</v>
      </c>
      <c r="AX16" s="60">
        <v>328.3799143493772</v>
      </c>
      <c r="AY16" s="60">
        <v>10524.167165148854</v>
      </c>
      <c r="AZ16" s="60">
        <v>13.236568124860751</v>
      </c>
      <c r="BA16" s="60">
        <v>9.7623404356914456</v>
      </c>
      <c r="BB16" s="60">
        <v>17.747185602838627</v>
      </c>
      <c r="BC16" s="60">
        <v>1.4955915808694606</v>
      </c>
      <c r="BD16" s="60">
        <v>6.9827542420143454</v>
      </c>
      <c r="BE16" s="60">
        <v>3.7546304928749459</v>
      </c>
      <c r="BF16" s="72">
        <f t="shared" si="0"/>
        <v>1.7559509264803423</v>
      </c>
      <c r="BG16" s="37">
        <f t="shared" si="10"/>
        <v>2.1349581351728122E-2</v>
      </c>
      <c r="BH16" s="37">
        <f t="shared" si="1"/>
        <v>0.12259731364183038</v>
      </c>
      <c r="BI16" s="37">
        <f t="shared" si="2"/>
        <v>7.404877743966555E-2</v>
      </c>
      <c r="BK16" s="37">
        <f t="shared" si="6"/>
        <v>20.550553904907613</v>
      </c>
      <c r="BL16" s="37">
        <v>0.39923353363868869</v>
      </c>
      <c r="BM16" s="37">
        <v>14.229865347478597</v>
      </c>
      <c r="BN16" s="37">
        <v>57.194466043765978</v>
      </c>
      <c r="BO16" s="37">
        <v>89.066135669932464</v>
      </c>
      <c r="BP16" s="70">
        <f>AH16+AI16+BB16+BE16+BC16+AR16+AQ16+BD16+AT16+AU16</f>
        <v>861.25207719533455</v>
      </c>
      <c r="BQ16" s="37">
        <f t="shared" si="11"/>
        <v>38.298518928899796</v>
      </c>
      <c r="BR16" s="37">
        <f t="shared" si="5"/>
        <v>3.3751769142860653</v>
      </c>
      <c r="BS16" s="37">
        <v>1E-3</v>
      </c>
      <c r="BT16" s="37">
        <f t="shared" si="9"/>
        <v>0.12259731364183038</v>
      </c>
    </row>
    <row r="17" spans="1:73" x14ac:dyDescent="0.35">
      <c r="BF17" s="72"/>
      <c r="BH17" s="37" t="e">
        <f t="shared" si="1"/>
        <v>#DIV/0!</v>
      </c>
      <c r="BI17" s="37" t="e">
        <f t="shared" si="2"/>
        <v>#DIV/0!</v>
      </c>
      <c r="BK17" s="37" t="e">
        <f t="shared" si="6"/>
        <v>#DIV/0!</v>
      </c>
      <c r="BP17" s="70"/>
      <c r="BQ17" s="37"/>
      <c r="BR17" s="37" t="e">
        <f t="shared" si="5"/>
        <v>#DIV/0!</v>
      </c>
      <c r="BT17" s="37"/>
    </row>
    <row r="18" spans="1:73" s="37" customFormat="1" x14ac:dyDescent="0.35">
      <c r="A18" s="37" t="s">
        <v>119</v>
      </c>
      <c r="B18" s="69" t="s">
        <v>148</v>
      </c>
      <c r="C18" s="20">
        <v>44</v>
      </c>
      <c r="D18" s="20">
        <v>33.64</v>
      </c>
      <c r="E18" s="20">
        <v>17</v>
      </c>
      <c r="F18" s="20">
        <v>65</v>
      </c>
      <c r="G18" s="59">
        <v>33.64</v>
      </c>
      <c r="H18" s="59">
        <v>7.45</v>
      </c>
      <c r="I18" s="59">
        <v>2.2799999999999998</v>
      </c>
      <c r="J18" s="12"/>
      <c r="K18" s="59">
        <v>19.149999999999999</v>
      </c>
      <c r="L18" s="59">
        <v>0</v>
      </c>
      <c r="M18" s="59">
        <v>0.18</v>
      </c>
      <c r="N18" s="59">
        <v>33.270000000000003</v>
      </c>
      <c r="O18" s="12"/>
      <c r="P18" s="59">
        <v>0.19</v>
      </c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59">
        <v>97.23</v>
      </c>
      <c r="AD18" s="60">
        <v>25.60027485476062</v>
      </c>
      <c r="AE18" s="60">
        <v>-11.980122386862719</v>
      </c>
      <c r="AF18" s="60">
        <v>602.93746303448074</v>
      </c>
      <c r="AG18" s="60">
        <v>194.38244268066063</v>
      </c>
      <c r="AH18" s="60">
        <v>168.53461415307598</v>
      </c>
      <c r="AI18" s="60">
        <v>11.092044498393079</v>
      </c>
      <c r="AJ18" s="60">
        <v>51.87846525819041</v>
      </c>
      <c r="AK18" s="60">
        <v>3.2992515260410729</v>
      </c>
      <c r="AL18" s="60">
        <v>3.2050886769290661</v>
      </c>
      <c r="AM18" s="60">
        <v>5.1570469195704209</v>
      </c>
      <c r="AN18" s="60">
        <v>8.2131271387147713</v>
      </c>
      <c r="AO18" s="60">
        <v>1.7834475023549021</v>
      </c>
      <c r="AP18" s="60">
        <v>3.5139397207705767</v>
      </c>
      <c r="AQ18" s="60">
        <v>1.0660737715018331</v>
      </c>
      <c r="AR18" s="60">
        <v>5.5091964499893953</v>
      </c>
      <c r="AS18" s="60">
        <v>3.0509331452452648</v>
      </c>
      <c r="AT18" s="60">
        <v>86.468565372961109</v>
      </c>
      <c r="AU18" s="60">
        <v>66.154721986994147</v>
      </c>
      <c r="AV18" s="60">
        <v>275.71449663398869</v>
      </c>
      <c r="AW18" s="60">
        <v>30.136638421932094</v>
      </c>
      <c r="AX18" s="60">
        <v>1051.2631827321054</v>
      </c>
      <c r="AY18" s="60">
        <v>67693.958071699148</v>
      </c>
      <c r="AZ18" s="60">
        <v>3.791187854189165</v>
      </c>
      <c r="BA18" s="60">
        <v>32.453493425009626</v>
      </c>
      <c r="BB18" s="60">
        <v>8.8532852243972169</v>
      </c>
      <c r="BC18" s="60">
        <v>1.3616187809311537</v>
      </c>
      <c r="BD18" s="60">
        <v>2.9045034182344542</v>
      </c>
      <c r="BE18" s="60">
        <v>2.7028237840412119</v>
      </c>
      <c r="BF18" s="72">
        <f t="shared" si="0"/>
        <v>11.294695962902857</v>
      </c>
      <c r="BG18" s="37">
        <f t="shared" ref="BG18:BG21" si="12">AG18/$BJ$2</f>
        <v>2.6256976170376822E-2</v>
      </c>
      <c r="BH18" s="37">
        <f t="shared" si="1"/>
        <v>0.1282783454374459</v>
      </c>
      <c r="BI18" s="37">
        <f t="shared" si="2"/>
        <v>7.7480120644217318E-2</v>
      </c>
      <c r="BK18" s="37">
        <f t="shared" si="6"/>
        <v>8.1462187902605869</v>
      </c>
      <c r="BL18" s="37">
        <v>0.25972136081922276</v>
      </c>
      <c r="BM18" s="37">
        <v>28.268811434575543</v>
      </c>
      <c r="BN18" s="37">
        <v>34.850249447525364</v>
      </c>
      <c r="BO18" s="37">
        <v>78.463069529697819</v>
      </c>
      <c r="BP18" s="70">
        <f>AH18+AI18+BB18+BE18+BC18+AR18+AQ18+BD18+AT18+AU18</f>
        <v>354.64744744051956</v>
      </c>
      <c r="BQ18" s="37">
        <f t="shared" si="11"/>
        <v>37.692587582052205</v>
      </c>
      <c r="BR18" s="37">
        <f t="shared" si="5"/>
        <v>4.605197028715442</v>
      </c>
      <c r="BS18" s="37">
        <v>0.16910522219092161</v>
      </c>
      <c r="BT18" s="37">
        <f t="shared" si="9"/>
        <v>0.1282783454374459</v>
      </c>
      <c r="BU18" s="37" t="s">
        <v>186</v>
      </c>
    </row>
    <row r="19" spans="1:73" s="37" customFormat="1" x14ac:dyDescent="0.35">
      <c r="A19" s="37" t="s">
        <v>119</v>
      </c>
      <c r="B19" s="69" t="s">
        <v>148</v>
      </c>
      <c r="C19" s="20">
        <v>45</v>
      </c>
      <c r="D19" s="20">
        <v>35.58</v>
      </c>
      <c r="E19" s="20">
        <v>17</v>
      </c>
      <c r="F19" s="20">
        <v>66</v>
      </c>
      <c r="G19" s="59">
        <v>35.58</v>
      </c>
      <c r="H19" s="59">
        <v>1.62</v>
      </c>
      <c r="I19" s="59">
        <v>2.52</v>
      </c>
      <c r="J19" s="12"/>
      <c r="K19" s="59">
        <v>23.08</v>
      </c>
      <c r="L19" s="59">
        <v>0.17</v>
      </c>
      <c r="M19" s="59">
        <v>7.0000000000000007E-2</v>
      </c>
      <c r="N19" s="59">
        <v>32.94</v>
      </c>
      <c r="O19" s="12"/>
      <c r="P19" s="59">
        <v>0.09</v>
      </c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59">
        <v>97.33</v>
      </c>
      <c r="AD19" s="60">
        <v>120.67088890071587</v>
      </c>
      <c r="AE19" s="60">
        <v>97.974972403459745</v>
      </c>
      <c r="AF19" s="60">
        <v>816.27665606072537</v>
      </c>
      <c r="AG19" s="60">
        <v>58.95898954732575</v>
      </c>
      <c r="AH19" s="60">
        <v>152.16439452415332</v>
      </c>
      <c r="AI19" s="60">
        <v>8.9608947709974007</v>
      </c>
      <c r="AJ19" s="60">
        <v>39.111366654534358</v>
      </c>
      <c r="AK19" s="60">
        <v>3.739762968404917</v>
      </c>
      <c r="AL19" s="60">
        <v>3.310260568823753</v>
      </c>
      <c r="AM19" s="60">
        <v>2.7292876761696969</v>
      </c>
      <c r="AN19" s="60">
        <v>10.31590251613059</v>
      </c>
      <c r="AO19" s="60">
        <v>1.4674208189169802</v>
      </c>
      <c r="AP19" s="60">
        <v>2.4100090539886878</v>
      </c>
      <c r="AQ19" s="60">
        <v>0.99705083802365679</v>
      </c>
      <c r="AR19" s="60">
        <v>4.8853062333362756</v>
      </c>
      <c r="AS19" s="60">
        <v>4.2683775608164121</v>
      </c>
      <c r="AT19" s="60">
        <v>68.285755186735884</v>
      </c>
      <c r="AU19" s="60">
        <v>79.8349099774249</v>
      </c>
      <c r="AV19" s="60">
        <v>133.12032429804933</v>
      </c>
      <c r="AW19" s="60">
        <v>25.899123293336839</v>
      </c>
      <c r="AX19" s="60">
        <v>418.53212307317557</v>
      </c>
      <c r="AY19" s="60">
        <v>9877.7362256580582</v>
      </c>
      <c r="AZ19" s="60">
        <v>17.763153258835064</v>
      </c>
      <c r="BA19" s="60">
        <v>11.869814705214679</v>
      </c>
      <c r="BB19" s="60">
        <v>5.8044676466873906</v>
      </c>
      <c r="BC19" s="60">
        <v>2.2049916424932752</v>
      </c>
      <c r="BD19" s="60">
        <v>2.2695312794472464</v>
      </c>
      <c r="BE19" s="60">
        <v>3.2737241240706965</v>
      </c>
      <c r="BF19" s="72">
        <f t="shared" si="0"/>
        <v>1.6480943151882537</v>
      </c>
      <c r="BG19" s="37">
        <f t="shared" si="12"/>
        <v>7.9641183752222153E-3</v>
      </c>
      <c r="BH19" s="37">
        <f t="shared" si="1"/>
        <v>0.13122641386175959</v>
      </c>
      <c r="BI19" s="37">
        <f t="shared" si="2"/>
        <v>7.926075397250279E-2</v>
      </c>
      <c r="BK19" s="37">
        <f t="shared" si="6"/>
        <v>4.0639132585849378</v>
      </c>
      <c r="BL19" s="37">
        <v>0.17386631622706236</v>
      </c>
      <c r="BM19" s="37">
        <v>25.975729928349288</v>
      </c>
      <c r="BN19" s="37">
        <v>25.970868160043608</v>
      </c>
      <c r="BO19" s="37">
        <v>55.236441571756089</v>
      </c>
      <c r="BP19" s="70">
        <f>AH19+AI19+BB19+BE19+BC19+AR19+AQ19+BD19+AT19+AU19</f>
        <v>328.68102622337005</v>
      </c>
      <c r="BQ19" s="37">
        <f t="shared" si="11"/>
        <v>21.602336046183758</v>
      </c>
      <c r="BR19" s="37">
        <f t="shared" si="5"/>
        <v>7.0299551315785278</v>
      </c>
      <c r="BS19" s="37">
        <v>4.3693434224811131E-2</v>
      </c>
      <c r="BT19" s="37">
        <f t="shared" si="9"/>
        <v>0.13122641386175959</v>
      </c>
    </row>
    <row r="20" spans="1:73" s="37" customFormat="1" x14ac:dyDescent="0.35">
      <c r="A20" s="37" t="s">
        <v>120</v>
      </c>
      <c r="B20" s="69" t="s">
        <v>148</v>
      </c>
      <c r="C20" s="75" t="s">
        <v>157</v>
      </c>
      <c r="D20" s="75">
        <v>35.520000000000003</v>
      </c>
      <c r="E20" s="29">
        <v>18</v>
      </c>
      <c r="F20" s="29">
        <v>68</v>
      </c>
      <c r="G20" s="75">
        <v>35.520000000000003</v>
      </c>
      <c r="H20" s="75">
        <v>2.41</v>
      </c>
      <c r="I20" s="75">
        <v>6.28</v>
      </c>
      <c r="J20" s="12"/>
      <c r="K20" s="75">
        <v>18.059999999999999</v>
      </c>
      <c r="L20" s="12"/>
      <c r="M20" s="12"/>
      <c r="N20" s="75">
        <v>33.94</v>
      </c>
      <c r="O20" s="12"/>
      <c r="P20" s="12"/>
      <c r="Q20" s="12"/>
      <c r="R20" s="12"/>
      <c r="S20" s="12"/>
      <c r="T20" s="12"/>
      <c r="U20" s="12"/>
      <c r="V20" s="12"/>
      <c r="W20" s="12">
        <v>0.21</v>
      </c>
      <c r="X20" s="12"/>
      <c r="Y20" s="12"/>
      <c r="Z20" s="12">
        <v>0.31</v>
      </c>
      <c r="AA20" s="12"/>
      <c r="AB20" s="12"/>
      <c r="AC20" s="12">
        <v>99.13</v>
      </c>
      <c r="AD20" s="60">
        <v>19.738274618140537</v>
      </c>
      <c r="AE20" s="60">
        <v>10.926493038339789</v>
      </c>
      <c r="AF20" s="60">
        <v>795.82790320350227</v>
      </c>
      <c r="AG20" s="60">
        <v>496.65317112482819</v>
      </c>
      <c r="AH20" s="60">
        <v>80.559282589629291</v>
      </c>
      <c r="AI20" s="60">
        <v>13.092619982769248</v>
      </c>
      <c r="AJ20" s="60">
        <v>34.031860266947653</v>
      </c>
      <c r="AK20" s="60">
        <v>3.2789355048483997</v>
      </c>
      <c r="AL20" s="60">
        <v>3.3506098408090477</v>
      </c>
      <c r="AM20" s="60">
        <v>11.613743656602441</v>
      </c>
      <c r="AN20" s="60">
        <v>2.5772758724401501</v>
      </c>
      <c r="AO20" s="60">
        <v>1.1903945669613132</v>
      </c>
      <c r="AP20" s="60">
        <v>2.7373581448993725</v>
      </c>
      <c r="AQ20" s="60">
        <v>0.94728371322770555</v>
      </c>
      <c r="AR20" s="60">
        <v>4.9551233819740741</v>
      </c>
      <c r="AS20" s="60">
        <v>3.5172636578361267</v>
      </c>
      <c r="AT20" s="60">
        <v>74.6914464478253</v>
      </c>
      <c r="AU20" s="60">
        <v>22.979261190341553</v>
      </c>
      <c r="AV20" s="60">
        <v>90.632214668630667</v>
      </c>
      <c r="AW20" s="60">
        <v>21.043957991709753</v>
      </c>
      <c r="AX20" s="60">
        <v>185.01329120535405</v>
      </c>
      <c r="AY20" s="60">
        <v>14970.990284028949</v>
      </c>
      <c r="AZ20" s="60">
        <v>5.4972745182829001</v>
      </c>
      <c r="BA20" s="60">
        <v>13.450926975887599</v>
      </c>
      <c r="BB20" s="60">
        <v>7.5139896870032343</v>
      </c>
      <c r="BC20" s="60">
        <v>1.5352521620334332</v>
      </c>
      <c r="BD20" s="60">
        <v>3.5190588798676781</v>
      </c>
      <c r="BE20" s="60">
        <v>2.5563113452390898</v>
      </c>
      <c r="BF20" s="72">
        <f t="shared" si="0"/>
        <v>2.4979006744232963</v>
      </c>
      <c r="BG20" s="37">
        <f t="shared" si="12"/>
        <v>6.7087388651609556E-2</v>
      </c>
      <c r="BH20" s="37">
        <f t="shared" si="1"/>
        <v>0.17528941539396911</v>
      </c>
      <c r="BI20" s="37">
        <f t="shared" si="2"/>
        <v>0.10587480689795734</v>
      </c>
      <c r="BK20" s="37">
        <f t="shared" si="6"/>
        <v>8.527993190010001</v>
      </c>
      <c r="BL20" s="37">
        <v>0.88256645430674951</v>
      </c>
      <c r="BM20" s="37">
        <v>22.215053101679647</v>
      </c>
      <c r="BN20" s="37">
        <v>10.736356387285289</v>
      </c>
      <c r="BO20" s="37">
        <v>33.109374028206446</v>
      </c>
      <c r="BP20" s="70">
        <f>AH20+AI20+BB20+BE20+BC20+AR20+AQ20+BD20+AT20+AU20</f>
        <v>212.3496293799106</v>
      </c>
      <c r="BQ20" s="37">
        <f t="shared" si="11"/>
        <v>42.764261534434652</v>
      </c>
      <c r="BR20" s="37">
        <f t="shared" si="5"/>
        <v>2.165060177499877</v>
      </c>
      <c r="BS20" s="37">
        <v>6.4087588148033156E-2</v>
      </c>
      <c r="BT20" s="37">
        <f t="shared" si="9"/>
        <v>0.17528941539396911</v>
      </c>
      <c r="BU20" s="37" t="s">
        <v>185</v>
      </c>
    </row>
    <row r="21" spans="1:73" s="37" customFormat="1" x14ac:dyDescent="0.35">
      <c r="A21" s="37" t="s">
        <v>121</v>
      </c>
      <c r="B21" s="69" t="s">
        <v>148</v>
      </c>
      <c r="C21" s="62">
        <v>3</v>
      </c>
      <c r="D21" s="31">
        <v>34.630000000000003</v>
      </c>
      <c r="E21" s="31">
        <v>19</v>
      </c>
      <c r="F21" s="31">
        <v>70</v>
      </c>
      <c r="G21" s="13">
        <v>34.630000000000003</v>
      </c>
      <c r="H21" s="13">
        <v>2.52</v>
      </c>
      <c r="I21" s="13">
        <v>0.62</v>
      </c>
      <c r="J21" s="13"/>
      <c r="K21" s="13">
        <v>25.55</v>
      </c>
      <c r="L21" s="13">
        <v>0.06</v>
      </c>
      <c r="M21" s="13">
        <v>0.42</v>
      </c>
      <c r="N21" s="13">
        <v>32.49</v>
      </c>
      <c r="O21" s="13"/>
      <c r="P21" s="13">
        <v>0.19</v>
      </c>
      <c r="Q21" s="13"/>
      <c r="R21" s="13"/>
      <c r="S21" s="13"/>
      <c r="T21" s="13"/>
      <c r="U21" s="13"/>
      <c r="V21" s="13"/>
      <c r="W21" s="13">
        <v>0</v>
      </c>
      <c r="X21" s="13">
        <v>0</v>
      </c>
      <c r="Y21" s="13"/>
      <c r="Z21" s="13"/>
      <c r="AA21" s="13"/>
      <c r="AB21" s="13"/>
      <c r="AC21" s="13">
        <v>96.51</v>
      </c>
      <c r="AD21" s="60">
        <v>33.317293099946696</v>
      </c>
      <c r="AE21" s="60">
        <v>-12.417014109276534</v>
      </c>
      <c r="AF21" s="60">
        <v>159.87472404217536</v>
      </c>
      <c r="AG21" s="60">
        <v>696.98624074922475</v>
      </c>
      <c r="AH21" s="60">
        <v>42.910361112890534</v>
      </c>
      <c r="AI21" s="60">
        <v>8.4448084874718923</v>
      </c>
      <c r="AJ21" s="60">
        <v>18.913392487145849</v>
      </c>
      <c r="AK21" s="60">
        <v>4.7579840615331852</v>
      </c>
      <c r="AL21" s="60">
        <v>4.6504863068957052</v>
      </c>
      <c r="AM21" s="60">
        <v>13.598603503516628</v>
      </c>
      <c r="AN21" s="60">
        <v>2.9711835097763473</v>
      </c>
      <c r="AO21" s="60">
        <v>1.1871598802638801</v>
      </c>
      <c r="AP21" s="60">
        <v>1.2296300026489009</v>
      </c>
      <c r="AQ21" s="60">
        <v>1.596098717514091</v>
      </c>
      <c r="AR21" s="60">
        <v>7.3250580360149913</v>
      </c>
      <c r="AS21" s="60">
        <v>2.8550013394858946</v>
      </c>
      <c r="AT21" s="60">
        <v>35.28765680011368</v>
      </c>
      <c r="AU21" s="60">
        <v>12.940778929803638</v>
      </c>
      <c r="AV21" s="60">
        <v>214.44473344892734</v>
      </c>
      <c r="AW21" s="60">
        <v>37.542992608091929</v>
      </c>
      <c r="AX21" s="60">
        <v>2264.2388789060115</v>
      </c>
      <c r="AY21" s="60">
        <v>24008.895844691695</v>
      </c>
      <c r="AZ21" s="60">
        <v>4.2781320951530262</v>
      </c>
      <c r="BA21" s="60">
        <v>67.09793258956644</v>
      </c>
      <c r="BB21" s="60">
        <v>8.9852694047939217</v>
      </c>
      <c r="BC21" s="60">
        <v>3.5460610155280268</v>
      </c>
      <c r="BD21" s="60">
        <v>2.7112020428049135</v>
      </c>
      <c r="BE21" s="60">
        <v>4.2012499560252339</v>
      </c>
      <c r="BF21" s="72">
        <f t="shared" si="0"/>
        <v>4.0058697510873422</v>
      </c>
      <c r="BG21" s="37">
        <f t="shared" si="12"/>
        <v>9.4148169258774742E-2</v>
      </c>
      <c r="BH21" s="37">
        <f t="shared" si="1"/>
        <v>0.23931338188045082</v>
      </c>
      <c r="BI21" s="37">
        <f t="shared" si="2"/>
        <v>0.14454528265579228</v>
      </c>
      <c r="BK21" s="37">
        <f t="shared" si="6"/>
        <v>2.381461698062298</v>
      </c>
      <c r="BL21" s="37">
        <v>1.0108490379545181</v>
      </c>
      <c r="BM21" s="37">
        <v>23.521723434854199</v>
      </c>
      <c r="BN21" s="37">
        <v>2.617669359172512</v>
      </c>
      <c r="BO21" s="37">
        <v>174.39777249007011</v>
      </c>
      <c r="BP21" s="70">
        <f>AH21+AI21+BB21+BE21+BC21+AR21+AQ21+BD21+AT21+AU21</f>
        <v>127.94854450296094</v>
      </c>
      <c r="BQ21" s="37">
        <f t="shared" si="11"/>
        <v>51.254251259622549</v>
      </c>
      <c r="BR21" s="37">
        <f t="shared" si="5"/>
        <v>2.5027661051988357</v>
      </c>
      <c r="BS21" s="37">
        <v>2.4914729044074841E-2</v>
      </c>
      <c r="BT21" s="37">
        <f t="shared" si="9"/>
        <v>0.23931338188045082</v>
      </c>
      <c r="BU21" s="37" t="s">
        <v>184</v>
      </c>
    </row>
    <row r="22" spans="1:73" x14ac:dyDescent="0.35">
      <c r="BF22" s="72"/>
      <c r="BH22" s="37" t="e">
        <f t="shared" si="1"/>
        <v>#DIV/0!</v>
      </c>
      <c r="BI22" s="37" t="e">
        <f t="shared" si="2"/>
        <v>#DIV/0!</v>
      </c>
      <c r="BK22" s="37" t="e">
        <f t="shared" si="6"/>
        <v>#DIV/0!</v>
      </c>
      <c r="BP22" s="70"/>
      <c r="BQ22" s="37"/>
      <c r="BR22" s="37" t="e">
        <f t="shared" si="5"/>
        <v>#DIV/0!</v>
      </c>
      <c r="BT22" s="37"/>
    </row>
    <row r="23" spans="1:73" s="37" customFormat="1" ht="18" customHeight="1" x14ac:dyDescent="0.35">
      <c r="A23" s="37" t="s">
        <v>118</v>
      </c>
      <c r="B23" s="69" t="s">
        <v>149</v>
      </c>
      <c r="C23" s="31">
        <v>27</v>
      </c>
      <c r="D23" s="31">
        <v>29.99</v>
      </c>
      <c r="E23" s="31">
        <v>15</v>
      </c>
      <c r="F23" s="31">
        <v>61</v>
      </c>
      <c r="G23" s="13">
        <v>29.99</v>
      </c>
      <c r="H23" s="13">
        <v>12.85</v>
      </c>
      <c r="I23" s="13">
        <v>1.32</v>
      </c>
      <c r="J23" s="13"/>
      <c r="K23" s="13">
        <v>17.940000000000001</v>
      </c>
      <c r="L23" s="13">
        <v>1.04</v>
      </c>
      <c r="M23" s="13">
        <v>0.33</v>
      </c>
      <c r="N23" s="13">
        <v>31.91</v>
      </c>
      <c r="O23" s="13"/>
      <c r="P23" s="13">
        <v>0.34</v>
      </c>
      <c r="Q23" s="13"/>
      <c r="R23" s="13"/>
      <c r="S23" s="13"/>
      <c r="T23" s="13"/>
      <c r="U23" s="13"/>
      <c r="V23" s="13"/>
      <c r="W23" s="13">
        <v>0.76</v>
      </c>
      <c r="X23" s="13">
        <v>0.23</v>
      </c>
      <c r="Y23" s="13"/>
      <c r="Z23" s="13">
        <v>0.42</v>
      </c>
      <c r="AA23" s="13"/>
      <c r="AB23" s="13"/>
      <c r="AC23" s="13">
        <v>97.42</v>
      </c>
      <c r="AD23" s="60">
        <v>11.871124598318127</v>
      </c>
      <c r="AE23" s="60">
        <v>1.6750624852308704</v>
      </c>
      <c r="AF23" s="60">
        <v>164.13157114971798</v>
      </c>
      <c r="AG23" s="60">
        <v>5425.0500160606989</v>
      </c>
      <c r="AH23" s="60">
        <v>462.66891528669743</v>
      </c>
      <c r="AI23" s="60">
        <v>88.85083938788739</v>
      </c>
      <c r="AJ23" s="60">
        <v>202.21550913884394</v>
      </c>
      <c r="AK23" s="60">
        <v>33.786476939936982</v>
      </c>
      <c r="AL23" s="60">
        <v>37.964866909856674</v>
      </c>
      <c r="AM23" s="60">
        <v>73.425533742779166</v>
      </c>
      <c r="AN23" s="60">
        <v>25.271338365566336</v>
      </c>
      <c r="AO23" s="60">
        <v>49.371659021891531</v>
      </c>
      <c r="AP23" s="60">
        <v>15.079261771914025</v>
      </c>
      <c r="AQ23" s="60">
        <v>10.310294941626372</v>
      </c>
      <c r="AR23" s="60">
        <v>52.944555754531173</v>
      </c>
      <c r="AS23" s="60">
        <v>25.931482147624539</v>
      </c>
      <c r="AT23" s="60">
        <v>431.01759634610164</v>
      </c>
      <c r="AU23" s="60">
        <v>119.88283786983322</v>
      </c>
      <c r="AV23" s="60">
        <v>2221.1471108833857</v>
      </c>
      <c r="AW23" s="60">
        <v>277.23583041941606</v>
      </c>
      <c r="AX23" s="60">
        <v>1271.6458598733543</v>
      </c>
      <c r="AY23" s="60">
        <v>75171.357394677398</v>
      </c>
      <c r="AZ23" s="60">
        <v>18.68246466808634</v>
      </c>
      <c r="BA23" s="60">
        <v>29.526227617748866</v>
      </c>
      <c r="BB23" s="60">
        <v>64.999970792490473</v>
      </c>
      <c r="BC23" s="60">
        <v>25.399655718232992</v>
      </c>
      <c r="BD23" s="60">
        <v>25.776979211956146</v>
      </c>
      <c r="BE23" s="60">
        <v>28.493281066781584</v>
      </c>
      <c r="BF23" s="72">
        <f t="shared" si="0"/>
        <v>12.54229551760467</v>
      </c>
      <c r="BG23" s="37">
        <f t="shared" ref="BG23:BG29" si="13">AG23/$BJ$2</f>
        <v>0.73281005748458083</v>
      </c>
      <c r="BH23" s="37">
        <f t="shared" si="1"/>
        <v>0.20614202329814232</v>
      </c>
      <c r="BI23" s="37">
        <f t="shared" si="2"/>
        <v>0.12450978207207795</v>
      </c>
      <c r="BK23" s="37">
        <f t="shared" si="6"/>
        <v>3.498111957639896</v>
      </c>
      <c r="BL23" s="37">
        <v>1.1480516713709854</v>
      </c>
      <c r="BM23" s="37">
        <v>26.889224022109708</v>
      </c>
      <c r="BN23" s="37">
        <v>3.3855541183114028</v>
      </c>
      <c r="BO23" s="37">
        <v>147.29813332244137</v>
      </c>
      <c r="BP23" s="70">
        <f t="shared" ref="BP23:BP28" si="14">AH23+AI23+BB23+BE23+BC23+AR23+AQ23+BD23+AT23+AU23</f>
        <v>1310.3449263761386</v>
      </c>
      <c r="BQ23" s="37">
        <f t="shared" si="11"/>
        <v>73.885060680191657</v>
      </c>
      <c r="BR23" s="37">
        <f t="shared" si="5"/>
        <v>0.51185920964010856</v>
      </c>
      <c r="BT23" s="37">
        <f t="shared" si="9"/>
        <v>0.20614202329814232</v>
      </c>
      <c r="BU23" s="37" t="s">
        <v>190</v>
      </c>
    </row>
    <row r="24" spans="1:73" s="37" customFormat="1" x14ac:dyDescent="0.35">
      <c r="A24" s="37" t="s">
        <v>118</v>
      </c>
      <c r="B24" s="69" t="s">
        <v>149</v>
      </c>
      <c r="C24" s="76" t="s">
        <v>158</v>
      </c>
      <c r="D24" s="31">
        <v>30</v>
      </c>
      <c r="E24" s="31">
        <v>15</v>
      </c>
      <c r="F24" s="31">
        <v>62</v>
      </c>
      <c r="G24" s="13">
        <v>29.99</v>
      </c>
      <c r="H24" s="13">
        <v>12.85</v>
      </c>
      <c r="I24" s="13">
        <v>1.32</v>
      </c>
      <c r="J24" s="13"/>
      <c r="K24" s="13">
        <v>17.940000000000001</v>
      </c>
      <c r="L24" s="13">
        <v>1.04</v>
      </c>
      <c r="M24" s="13">
        <v>0.33</v>
      </c>
      <c r="N24" s="13">
        <v>31.91</v>
      </c>
      <c r="O24" s="13"/>
      <c r="P24" s="13">
        <v>0.34</v>
      </c>
      <c r="Q24" s="13"/>
      <c r="R24" s="13"/>
      <c r="S24" s="13"/>
      <c r="T24" s="13"/>
      <c r="U24" s="13"/>
      <c r="V24" s="13"/>
      <c r="W24" s="13">
        <v>0.76</v>
      </c>
      <c r="X24" s="13">
        <v>0.23</v>
      </c>
      <c r="Y24" s="13"/>
      <c r="Z24" s="13">
        <v>0.42</v>
      </c>
      <c r="AA24" s="13"/>
      <c r="AB24" s="13"/>
      <c r="AC24" s="13">
        <v>97.42</v>
      </c>
      <c r="AD24" s="60">
        <v>17.719352807529855</v>
      </c>
      <c r="AE24" s="60">
        <v>2.4413273591188767</v>
      </c>
      <c r="AF24" s="60">
        <v>186.63152291822431</v>
      </c>
      <c r="AG24" s="60">
        <v>3931.3464609549342</v>
      </c>
      <c r="AH24" s="60">
        <v>484.68148488605391</v>
      </c>
      <c r="AI24" s="60">
        <v>85.743796041939632</v>
      </c>
      <c r="AJ24" s="60">
        <v>198.34457522102164</v>
      </c>
      <c r="AK24" s="60">
        <v>38.65454536645889</v>
      </c>
      <c r="AL24" s="60">
        <v>40.659237826872385</v>
      </c>
      <c r="AM24" s="60">
        <v>63.500842833456986</v>
      </c>
      <c r="AN24" s="60">
        <v>30.966824867212853</v>
      </c>
      <c r="AO24" s="60">
        <v>44.753144996657504</v>
      </c>
      <c r="AP24" s="60">
        <v>11.802761548967828</v>
      </c>
      <c r="AQ24" s="60">
        <v>11.340020836551789</v>
      </c>
      <c r="AR24" s="60">
        <v>54.334172062772794</v>
      </c>
      <c r="AS24" s="60">
        <v>24.296879030993175</v>
      </c>
      <c r="AT24" s="60">
        <v>434.37781446205076</v>
      </c>
      <c r="AU24" s="60">
        <v>112.27071403716133</v>
      </c>
      <c r="AV24" s="60">
        <v>2613.7389273507029</v>
      </c>
      <c r="AW24" s="60">
        <v>295.27206966792312</v>
      </c>
      <c r="AX24" s="60">
        <v>2149.1239506946799</v>
      </c>
      <c r="AY24" s="60">
        <v>57652.05110095023</v>
      </c>
      <c r="AZ24" s="60">
        <v>11.023345074340558</v>
      </c>
      <c r="BA24" s="60">
        <v>22.955699805256895</v>
      </c>
      <c r="BB24" s="60">
        <v>63.023772136327381</v>
      </c>
      <c r="BC24" s="60">
        <v>29.651319432565263</v>
      </c>
      <c r="BD24" s="60">
        <v>24.524151313372514</v>
      </c>
      <c r="BE24" s="60">
        <v>33.61861251113146</v>
      </c>
      <c r="BF24" s="72">
        <f t="shared" si="0"/>
        <v>9.6192098581867906</v>
      </c>
      <c r="BG24" s="37">
        <f t="shared" si="13"/>
        <v>0.53104215030557889</v>
      </c>
      <c r="BH24" s="37">
        <f t="shared" si="1"/>
        <v>0.1973945104634956</v>
      </c>
      <c r="BI24" s="37">
        <f t="shared" si="2"/>
        <v>0.11922628431995133</v>
      </c>
      <c r="BK24" s="37">
        <f t="shared" si="6"/>
        <v>2.8917362762538481</v>
      </c>
      <c r="BL24" s="37">
        <v>1.1830228609386466</v>
      </c>
      <c r="BM24" s="37">
        <v>26.038053538330871</v>
      </c>
      <c r="BN24" s="37">
        <v>2.7159579185134222</v>
      </c>
      <c r="BO24" s="37">
        <v>221.45147273430081</v>
      </c>
      <c r="BP24" s="70">
        <f t="shared" si="14"/>
        <v>1333.565857719927</v>
      </c>
      <c r="BQ24" s="37">
        <f t="shared" si="11"/>
        <v>61.910146157675996</v>
      </c>
      <c r="BR24" s="37">
        <f t="shared" si="5"/>
        <v>0.69194745686645454</v>
      </c>
      <c r="BT24" s="37">
        <f t="shared" si="9"/>
        <v>0.1973945104634956</v>
      </c>
      <c r="BU24" s="37" t="s">
        <v>190</v>
      </c>
    </row>
    <row r="25" spans="1:73" s="37" customFormat="1" x14ac:dyDescent="0.35">
      <c r="A25" s="37" t="s">
        <v>118</v>
      </c>
      <c r="B25" s="69" t="s">
        <v>149</v>
      </c>
      <c r="C25" s="18">
        <v>32</v>
      </c>
      <c r="D25" s="18">
        <v>29.78</v>
      </c>
      <c r="E25" s="18">
        <v>16</v>
      </c>
      <c r="F25" s="18">
        <v>63</v>
      </c>
      <c r="G25" s="13">
        <v>29.78</v>
      </c>
      <c r="H25" s="13">
        <v>13.74</v>
      </c>
      <c r="I25" s="13">
        <v>1.38</v>
      </c>
      <c r="J25" s="13"/>
      <c r="K25" s="13">
        <v>17.55</v>
      </c>
      <c r="L25" s="13">
        <v>0.98</v>
      </c>
      <c r="M25" s="13">
        <v>0.31</v>
      </c>
      <c r="N25" s="13">
        <v>32.01</v>
      </c>
      <c r="O25" s="13"/>
      <c r="P25" s="13">
        <v>0.27</v>
      </c>
      <c r="Q25" s="13"/>
      <c r="R25" s="13"/>
      <c r="S25" s="13"/>
      <c r="T25" s="13"/>
      <c r="U25" s="13"/>
      <c r="V25" s="13"/>
      <c r="W25" s="13">
        <v>0</v>
      </c>
      <c r="X25" s="13">
        <v>0.37</v>
      </c>
      <c r="Y25" s="13"/>
      <c r="Z25" s="13">
        <v>0.46</v>
      </c>
      <c r="AA25" s="13"/>
      <c r="AB25" s="13"/>
      <c r="AC25" s="13">
        <v>97.31</v>
      </c>
      <c r="AD25" s="60">
        <v>16.567441488740268</v>
      </c>
      <c r="AE25" s="60">
        <v>4.2619958439762762</v>
      </c>
      <c r="AF25" s="60">
        <v>219.65719180826099</v>
      </c>
      <c r="AG25" s="60">
        <v>1944.0572688955365</v>
      </c>
      <c r="AH25" s="60">
        <v>566.8652939191461</v>
      </c>
      <c r="AI25" s="60">
        <v>108.79518897570669</v>
      </c>
      <c r="AJ25" s="60">
        <v>249.56455399610104</v>
      </c>
      <c r="AK25" s="60">
        <v>27.683761528008855</v>
      </c>
      <c r="AL25" s="60">
        <v>30.034818138672041</v>
      </c>
      <c r="AM25" s="60">
        <v>33.638990649331596</v>
      </c>
      <c r="AN25" s="60">
        <v>48.051683748369115</v>
      </c>
      <c r="AO25" s="60">
        <v>51.566184076983482</v>
      </c>
      <c r="AP25" s="60">
        <v>33.644576362136284</v>
      </c>
      <c r="AQ25" s="60">
        <v>8.8715454145995896</v>
      </c>
      <c r="AR25" s="60">
        <v>47.43947275334969</v>
      </c>
      <c r="AS25" s="60">
        <v>30.454177013833171</v>
      </c>
      <c r="AT25" s="60">
        <v>533.37701452587919</v>
      </c>
      <c r="AU25" s="60">
        <v>128.8446383922994</v>
      </c>
      <c r="AV25" s="60">
        <v>3015.6365396037918</v>
      </c>
      <c r="AW25" s="60">
        <v>204.74147574409736</v>
      </c>
      <c r="AX25" s="60">
        <v>1306.1136532076598</v>
      </c>
      <c r="AY25" s="60">
        <v>93455.516547691819</v>
      </c>
      <c r="AZ25" s="60">
        <v>6.5160790577008525</v>
      </c>
      <c r="BA25" s="60">
        <v>25.17764107291238</v>
      </c>
      <c r="BB25" s="60">
        <v>65.263657404881798</v>
      </c>
      <c r="BC25" s="60">
        <v>17.344705380384639</v>
      </c>
      <c r="BD25" s="60">
        <v>30.423667531254182</v>
      </c>
      <c r="BE25" s="60">
        <v>21.436387462238098</v>
      </c>
      <c r="BF25" s="72">
        <f t="shared" si="0"/>
        <v>15.592996414011001</v>
      </c>
      <c r="BG25" s="37">
        <f t="shared" si="13"/>
        <v>0.26260121376855444</v>
      </c>
      <c r="BH25" s="37">
        <f t="shared" si="1"/>
        <v>0.20397427338036894</v>
      </c>
      <c r="BI25" s="37">
        <f t="shared" si="2"/>
        <v>0.12320046112174284</v>
      </c>
      <c r="BK25" s="37">
        <f t="shared" si="6"/>
        <v>6.2725302384637009</v>
      </c>
      <c r="BL25" s="37">
        <v>1.307977445279876</v>
      </c>
      <c r="BM25" s="37">
        <v>23.078445318801112</v>
      </c>
      <c r="BN25" s="37">
        <v>5.3284390093180418</v>
      </c>
      <c r="BO25" s="37">
        <v>89.632174503989262</v>
      </c>
      <c r="BP25" s="70">
        <f t="shared" si="14"/>
        <v>1528.6615717597394</v>
      </c>
      <c r="BQ25" s="37">
        <f t="shared" si="11"/>
        <v>57.79178362279918</v>
      </c>
      <c r="BR25" s="37">
        <f t="shared" si="5"/>
        <v>0.93184486322727411</v>
      </c>
      <c r="BT25" s="37">
        <f t="shared" si="9"/>
        <v>0.20397427338036894</v>
      </c>
      <c r="BU25" s="37" t="s">
        <v>190</v>
      </c>
    </row>
    <row r="26" spans="1:73" s="37" customFormat="1" x14ac:dyDescent="0.35">
      <c r="A26" s="37" t="s">
        <v>118</v>
      </c>
      <c r="B26" s="69" t="s">
        <v>149</v>
      </c>
      <c r="C26" s="18">
        <v>33</v>
      </c>
      <c r="D26" s="18">
        <v>30.07</v>
      </c>
      <c r="E26" s="18">
        <v>16</v>
      </c>
      <c r="F26" s="18">
        <v>64</v>
      </c>
      <c r="G26" s="13">
        <v>30.07</v>
      </c>
      <c r="H26" s="13">
        <v>12.53</v>
      </c>
      <c r="I26" s="13">
        <v>1.34</v>
      </c>
      <c r="J26" s="13"/>
      <c r="K26" s="13">
        <v>17.760000000000002</v>
      </c>
      <c r="L26" s="13">
        <v>0.94</v>
      </c>
      <c r="M26" s="13">
        <v>0.34</v>
      </c>
      <c r="N26" s="13">
        <v>31.92</v>
      </c>
      <c r="O26" s="13"/>
      <c r="P26" s="13">
        <v>0.34</v>
      </c>
      <c r="Q26" s="13"/>
      <c r="R26" s="13"/>
      <c r="S26" s="13"/>
      <c r="T26" s="13"/>
      <c r="U26" s="13"/>
      <c r="V26" s="13"/>
      <c r="W26" s="13">
        <v>0</v>
      </c>
      <c r="X26" s="13">
        <v>0.26</v>
      </c>
      <c r="Y26" s="13"/>
      <c r="Z26" s="13">
        <v>0.45</v>
      </c>
      <c r="AA26" s="13"/>
      <c r="AB26" s="13"/>
      <c r="AC26" s="13">
        <v>95.96</v>
      </c>
      <c r="AD26" s="60">
        <v>19.9930180426914</v>
      </c>
      <c r="AE26" s="60">
        <v>4.7488100496596219</v>
      </c>
      <c r="AF26" s="60">
        <v>166.08951786031574</v>
      </c>
      <c r="AG26" s="60">
        <v>1958.3456603552409</v>
      </c>
      <c r="AH26" s="60">
        <v>785.60467377193277</v>
      </c>
      <c r="AI26" s="60">
        <v>124.46545294816606</v>
      </c>
      <c r="AJ26" s="60">
        <v>311.64513410804426</v>
      </c>
      <c r="AK26" s="60">
        <v>48.567094340147797</v>
      </c>
      <c r="AL26" s="60">
        <v>49.218412517422109</v>
      </c>
      <c r="AM26" s="60">
        <v>37.428370755145856</v>
      </c>
      <c r="AN26" s="60">
        <v>67.444505486489504</v>
      </c>
      <c r="AO26" s="60">
        <v>69.98768344091485</v>
      </c>
      <c r="AP26" s="60">
        <v>45.022409532690659</v>
      </c>
      <c r="AQ26" s="60">
        <v>14.196713472903008</v>
      </c>
      <c r="AR26" s="60">
        <v>69.634281817551937</v>
      </c>
      <c r="AS26" s="60">
        <v>32.611768555455242</v>
      </c>
      <c r="AT26" s="60">
        <v>651.27021730206354</v>
      </c>
      <c r="AU26" s="60">
        <v>177.52119781431836</v>
      </c>
      <c r="AV26" s="60">
        <v>7070.5663180575084</v>
      </c>
      <c r="AW26" s="60">
        <v>335.36849232412919</v>
      </c>
      <c r="AX26" s="60">
        <v>1845.6145972962381</v>
      </c>
      <c r="AY26" s="60">
        <v>120975.59088193893</v>
      </c>
      <c r="AZ26" s="60">
        <v>6.8655278261516504</v>
      </c>
      <c r="BA26" s="60">
        <v>41.210306605522362</v>
      </c>
      <c r="BB26" s="60">
        <v>68.982308775081108</v>
      </c>
      <c r="BC26" s="60">
        <v>36.235466209791532</v>
      </c>
      <c r="BD26" s="60">
        <v>32.414095791150892</v>
      </c>
      <c r="BE26" s="60">
        <v>41.910994078632193</v>
      </c>
      <c r="BF26" s="72">
        <f t="shared" si="0"/>
        <v>20.184704172517097</v>
      </c>
      <c r="BG26" s="37">
        <f t="shared" si="13"/>
        <v>0.26453127467784565</v>
      </c>
      <c r="BH26" s="37">
        <f t="shared" si="1"/>
        <v>0.19111184519349536</v>
      </c>
      <c r="BI26" s="37">
        <f t="shared" si="2"/>
        <v>0.11543155449687119</v>
      </c>
      <c r="BK26" s="37">
        <f t="shared" si="6"/>
        <v>3.4349069010883335</v>
      </c>
      <c r="BL26" s="37">
        <v>1.0860642531121767</v>
      </c>
      <c r="BM26" s="37">
        <v>23.622966890487756</v>
      </c>
      <c r="BN26" s="37">
        <v>3.514122863812994</v>
      </c>
      <c r="BO26" s="37">
        <v>157.04548893420704</v>
      </c>
      <c r="BP26" s="70">
        <f t="shared" si="14"/>
        <v>2002.2354019815916</v>
      </c>
      <c r="BQ26" s="37">
        <f t="shared" si="11"/>
        <v>52.322492826808308</v>
      </c>
      <c r="BR26" s="37">
        <f t="shared" si="5"/>
        <v>0.96366249275028004</v>
      </c>
      <c r="BT26" s="37">
        <f t="shared" si="9"/>
        <v>0.19111184519349536</v>
      </c>
      <c r="BU26" s="37" t="s">
        <v>190</v>
      </c>
    </row>
    <row r="27" spans="1:73" s="37" customFormat="1" x14ac:dyDescent="0.35">
      <c r="A27" s="37" t="s">
        <v>120</v>
      </c>
      <c r="B27" s="69" t="s">
        <v>149</v>
      </c>
      <c r="C27" s="29">
        <v>15</v>
      </c>
      <c r="D27" s="29">
        <v>28.21</v>
      </c>
      <c r="E27" s="29">
        <v>18</v>
      </c>
      <c r="F27" s="29">
        <v>67</v>
      </c>
      <c r="G27" s="12">
        <v>28.21</v>
      </c>
      <c r="H27" s="12">
        <v>14.97</v>
      </c>
      <c r="I27" s="12">
        <v>2.29</v>
      </c>
      <c r="J27" s="12"/>
      <c r="K27" s="12">
        <v>19.739999999999998</v>
      </c>
      <c r="L27" s="12"/>
      <c r="M27" s="12">
        <v>0.39</v>
      </c>
      <c r="N27" s="12">
        <v>31.74</v>
      </c>
      <c r="O27" s="12"/>
      <c r="P27" s="12">
        <v>0.18</v>
      </c>
      <c r="Q27" s="12"/>
      <c r="R27" s="12"/>
      <c r="S27" s="12"/>
      <c r="T27" s="12"/>
      <c r="U27" s="12"/>
      <c r="V27" s="12"/>
      <c r="W27" s="12">
        <v>0</v>
      </c>
      <c r="X27" s="12"/>
      <c r="Y27" s="12"/>
      <c r="Z27" s="12">
        <v>0.28999999999999998</v>
      </c>
      <c r="AA27" s="12"/>
      <c r="AB27" s="12"/>
      <c r="AC27" s="12">
        <v>98.91</v>
      </c>
      <c r="AD27" s="60">
        <v>11.627277990645146</v>
      </c>
      <c r="AE27" s="60">
        <v>3.4469089888379667</v>
      </c>
      <c r="AF27" s="60">
        <v>500.18369409446416</v>
      </c>
      <c r="AG27" s="60">
        <v>1272.3555147413751</v>
      </c>
      <c r="AH27" s="60">
        <v>422.25810224938203</v>
      </c>
      <c r="AI27" s="60">
        <v>69.428905847616264</v>
      </c>
      <c r="AJ27" s="60">
        <v>165.19085555698072</v>
      </c>
      <c r="AK27" s="60">
        <v>15.875357584625423</v>
      </c>
      <c r="AL27" s="60">
        <v>15.01305516461213</v>
      </c>
      <c r="AM27" s="60">
        <v>31.533989449512447</v>
      </c>
      <c r="AN27" s="60">
        <v>19.857098949000648</v>
      </c>
      <c r="AO27" s="60">
        <v>7.78019057341342</v>
      </c>
      <c r="AP27" s="60">
        <v>18.564141668104277</v>
      </c>
      <c r="AQ27" s="60">
        <v>5.4273051139209425</v>
      </c>
      <c r="AR27" s="60">
        <v>30.61524665520189</v>
      </c>
      <c r="AS27" s="60">
        <v>19.428172388211792</v>
      </c>
      <c r="AT27" s="60">
        <v>391.58211307296256</v>
      </c>
      <c r="AU27" s="60">
        <v>86.945288026991776</v>
      </c>
      <c r="AV27" s="60">
        <v>567.37414395646579</v>
      </c>
      <c r="AW27" s="60">
        <v>112.37978723009364</v>
      </c>
      <c r="AX27" s="60">
        <v>899.61966616532209</v>
      </c>
      <c r="AY27" s="60">
        <v>75529.288232190607</v>
      </c>
      <c r="AZ27" s="60">
        <v>5.3276993346927863</v>
      </c>
      <c r="BA27" s="60">
        <v>27.242897664124275</v>
      </c>
      <c r="BB27" s="60">
        <v>44.003416221977218</v>
      </c>
      <c r="BC27" s="60">
        <v>7.4592620858903711</v>
      </c>
      <c r="BD27" s="60">
        <v>18.7854988849028</v>
      </c>
      <c r="BE27" s="60">
        <v>12.017833227131597</v>
      </c>
      <c r="BF27" s="72">
        <f t="shared" si="0"/>
        <v>12.602016061366889</v>
      </c>
      <c r="BG27" s="37">
        <f t="shared" si="13"/>
        <v>0.17186844639922641</v>
      </c>
      <c r="BH27" s="37">
        <f t="shared" si="1"/>
        <v>0.17730356808887168</v>
      </c>
      <c r="BI27" s="37">
        <f t="shared" si="2"/>
        <v>0.10709135512567849</v>
      </c>
      <c r="BK27" s="37">
        <f t="shared" si="6"/>
        <v>9.3077445259558704</v>
      </c>
      <c r="BL27" s="37">
        <v>1.2369472682138363</v>
      </c>
      <c r="BM27" s="37">
        <v>20.70636989651484</v>
      </c>
      <c r="BN27" s="37">
        <v>8.3608563015843416</v>
      </c>
      <c r="BO27" s="37">
        <v>30.562907464302096</v>
      </c>
      <c r="BP27" s="70">
        <f t="shared" si="14"/>
        <v>1088.5229713859776</v>
      </c>
      <c r="BQ27" s="37">
        <f t="shared" si="11"/>
        <v>40.348701098491908</v>
      </c>
      <c r="BR27" s="37">
        <f t="shared" si="5"/>
        <v>2.5522638245978979</v>
      </c>
      <c r="BS27" s="37">
        <v>0.3379444070616488</v>
      </c>
      <c r="BT27" s="37">
        <f t="shared" si="9"/>
        <v>0.17730356808887168</v>
      </c>
      <c r="BU27" s="37" t="s">
        <v>185</v>
      </c>
    </row>
    <row r="28" spans="1:73" s="37" customFormat="1" x14ac:dyDescent="0.35">
      <c r="A28" s="37" t="s">
        <v>122</v>
      </c>
      <c r="B28" s="69" t="s">
        <v>149</v>
      </c>
      <c r="C28" s="29">
        <v>25</v>
      </c>
      <c r="D28" s="29">
        <v>30.02</v>
      </c>
      <c r="E28" s="29">
        <v>22</v>
      </c>
      <c r="F28" s="29">
        <v>78</v>
      </c>
      <c r="G28" s="74">
        <v>31.95</v>
      </c>
      <c r="H28" s="74">
        <v>8.4</v>
      </c>
      <c r="I28" s="74">
        <v>1.97</v>
      </c>
      <c r="J28" s="12"/>
      <c r="K28" s="74">
        <v>22.04</v>
      </c>
      <c r="L28" s="74">
        <v>0.96</v>
      </c>
      <c r="M28" s="74">
        <v>0.22</v>
      </c>
      <c r="N28" s="74">
        <v>32.74</v>
      </c>
      <c r="O28" s="12"/>
      <c r="P28" s="74">
        <v>0.14000000000000001</v>
      </c>
      <c r="Q28" s="59">
        <v>0</v>
      </c>
      <c r="R28" s="12"/>
      <c r="S28" s="12"/>
      <c r="T28" s="12"/>
      <c r="U28" s="59">
        <v>0</v>
      </c>
      <c r="V28" s="12"/>
      <c r="W28" s="59">
        <v>0</v>
      </c>
      <c r="X28" s="59">
        <v>0</v>
      </c>
      <c r="Y28" s="59">
        <v>0</v>
      </c>
      <c r="Z28" s="12"/>
      <c r="AA28" s="12"/>
      <c r="AB28" s="12"/>
      <c r="AC28" s="59">
        <v>97.44</v>
      </c>
      <c r="AD28" s="60">
        <v>24.128173825182021</v>
      </c>
      <c r="AE28" s="60">
        <v>1.7206263878886625</v>
      </c>
      <c r="AF28" s="60">
        <v>37.874223047541456</v>
      </c>
      <c r="AG28" s="60">
        <v>4692.2572296581966</v>
      </c>
      <c r="AH28" s="60">
        <v>282.15098201489076</v>
      </c>
      <c r="AI28" s="60">
        <v>88.127255795034586</v>
      </c>
      <c r="AJ28" s="60">
        <v>192.33134729057178</v>
      </c>
      <c r="AK28" s="60">
        <v>38.164420244749635</v>
      </c>
      <c r="AL28" s="60">
        <v>39.06310465305485</v>
      </c>
      <c r="AM28" s="60">
        <v>73.986058021323515</v>
      </c>
      <c r="AN28" s="60">
        <v>4.0096311353189229</v>
      </c>
      <c r="AO28" s="60">
        <v>4.5018027807027101</v>
      </c>
      <c r="AP28" s="60">
        <v>7.9857191171147859</v>
      </c>
      <c r="AQ28" s="60">
        <v>11.541218494981528</v>
      </c>
      <c r="AR28" s="60">
        <v>59.564952260435561</v>
      </c>
      <c r="AS28" s="60">
        <v>25.40959318077487</v>
      </c>
      <c r="AT28" s="60">
        <v>344.69828883364329</v>
      </c>
      <c r="AU28" s="60">
        <v>45.10660106699774</v>
      </c>
      <c r="AV28" s="60">
        <v>346.14573047102573</v>
      </c>
      <c r="AW28" s="60">
        <v>299.00472339030233</v>
      </c>
      <c r="AX28" s="60">
        <v>727.38314061233393</v>
      </c>
      <c r="AY28" s="60">
        <v>31898.458804404734</v>
      </c>
      <c r="AZ28" s="60">
        <v>3.4154736123322116</v>
      </c>
      <c r="BA28" s="60">
        <v>3.1342608200908364</v>
      </c>
      <c r="BB28" s="60">
        <v>82.234482412201316</v>
      </c>
      <c r="BC28" s="60">
        <v>21.948698695302109</v>
      </c>
      <c r="BD28" s="60">
        <v>25.595278437061879</v>
      </c>
      <c r="BE28" s="60">
        <v>32.908535872833816</v>
      </c>
      <c r="BF28" s="72">
        <f t="shared" si="0"/>
        <v>5.3222385593014563</v>
      </c>
      <c r="BG28" s="37">
        <f t="shared" si="13"/>
        <v>0.63382517765155855</v>
      </c>
      <c r="BH28" s="37">
        <f t="shared" si="1"/>
        <v>0.25566490652805696</v>
      </c>
      <c r="BI28" s="37">
        <f t="shared" si="2"/>
        <v>0.1544216035429464</v>
      </c>
      <c r="BK28" s="37">
        <f t="shared" si="6"/>
        <v>4.015147185646013</v>
      </c>
      <c r="BL28" s="37">
        <v>3.0264050933288904</v>
      </c>
      <c r="BM28" s="37">
        <v>25.907552440872568</v>
      </c>
      <c r="BN28" s="37">
        <v>1.4741168195070078</v>
      </c>
      <c r="BO28" s="37">
        <v>43.345592975988247</v>
      </c>
      <c r="BP28" s="70">
        <f t="shared" si="14"/>
        <v>993.87629388338257</v>
      </c>
      <c r="BQ28" s="37">
        <f t="shared" si="11"/>
        <v>63.420830290834544</v>
      </c>
      <c r="BR28" s="37">
        <f t="shared" si="5"/>
        <v>0.89067232187657908</v>
      </c>
      <c r="BS28" s="37">
        <v>6.1803614116478597E-2</v>
      </c>
      <c r="BT28" s="37">
        <f t="shared" si="9"/>
        <v>0.25566490652805696</v>
      </c>
      <c r="BU28" s="37" t="s">
        <v>183</v>
      </c>
    </row>
    <row r="29" spans="1:73" s="37" customFormat="1" x14ac:dyDescent="0.35">
      <c r="A29" s="37" t="s">
        <v>117</v>
      </c>
      <c r="B29" s="69" t="s">
        <v>149</v>
      </c>
      <c r="C29" s="58">
        <v>20</v>
      </c>
      <c r="D29" s="58">
        <v>30.33</v>
      </c>
      <c r="E29" s="58">
        <v>10</v>
      </c>
      <c r="F29" s="58">
        <v>58</v>
      </c>
      <c r="G29" s="59">
        <v>30.33</v>
      </c>
      <c r="H29" s="59">
        <v>10.51</v>
      </c>
      <c r="I29" s="59">
        <v>2.78</v>
      </c>
      <c r="J29" s="59">
        <v>0</v>
      </c>
      <c r="K29" s="59">
        <v>19.88</v>
      </c>
      <c r="L29" s="59">
        <v>1.02</v>
      </c>
      <c r="M29" s="59">
        <v>0.13</v>
      </c>
      <c r="N29" s="59">
        <v>32.6</v>
      </c>
      <c r="O29" s="12"/>
      <c r="P29" s="59">
        <v>0.14000000000000001</v>
      </c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59">
        <v>97.49</v>
      </c>
      <c r="AD29" s="60">
        <v>26.367988083108557</v>
      </c>
      <c r="AE29" s="60">
        <v>-74.940221935235897</v>
      </c>
      <c r="AF29" s="60">
        <v>1892.0579121540786</v>
      </c>
      <c r="AG29" s="60">
        <v>1058.889235648259</v>
      </c>
      <c r="AH29" s="60">
        <v>233.62537913185076</v>
      </c>
      <c r="AI29" s="60">
        <v>40.419738142850107</v>
      </c>
      <c r="AJ29" s="60">
        <v>121.08612493795808</v>
      </c>
      <c r="AK29" s="60">
        <v>12.282063494700733</v>
      </c>
      <c r="AL29" s="60">
        <v>14.493057540292501</v>
      </c>
      <c r="AM29" s="60">
        <v>28.721554186293272</v>
      </c>
      <c r="AN29" s="60">
        <v>13.856181303829361</v>
      </c>
      <c r="AO29" s="60">
        <v>2.1506081587490189</v>
      </c>
      <c r="AP29" s="60">
        <v>9.0835699889750678</v>
      </c>
      <c r="AQ29" s="60">
        <v>3.7600848558268045</v>
      </c>
      <c r="AR29" s="60">
        <v>20.632013321700736</v>
      </c>
      <c r="AS29" s="60">
        <v>12.880892133967844</v>
      </c>
      <c r="AT29" s="60">
        <v>175.72798906482384</v>
      </c>
      <c r="AU29" s="60">
        <v>73.503710467408879</v>
      </c>
      <c r="AV29" s="60">
        <v>269.07941072789021</v>
      </c>
      <c r="AW29" s="60">
        <v>68.356804914799042</v>
      </c>
      <c r="AX29" s="60">
        <v>154.85834646723791</v>
      </c>
      <c r="AY29" s="60">
        <v>44211.343313766716</v>
      </c>
      <c r="AZ29" s="60">
        <v>9.6612715781871508</v>
      </c>
      <c r="BA29" s="60">
        <v>7.1549451019597035</v>
      </c>
      <c r="BB29" s="60">
        <v>33.449854362979792</v>
      </c>
      <c r="BC29" s="60">
        <v>5.9405549000827005</v>
      </c>
      <c r="BD29" s="60">
        <v>11.377122074983539</v>
      </c>
      <c r="BE29" s="60">
        <v>9.9458186181965242</v>
      </c>
      <c r="BF29" s="72">
        <f t="shared" si="0"/>
        <v>7.3766358928460738</v>
      </c>
      <c r="BG29" s="37">
        <f t="shared" si="13"/>
        <v>0.14303364565266391</v>
      </c>
      <c r="BH29" s="37">
        <f t="shared" si="1"/>
        <v>0.23001309215425991</v>
      </c>
      <c r="BI29" s="37">
        <f t="shared" si="2"/>
        <v>0.13892790766117299</v>
      </c>
      <c r="BK29" s="37">
        <f t="shared" si="6"/>
        <v>6.8040341050105289</v>
      </c>
      <c r="BL29" s="37">
        <f>AI29/AU29</f>
        <v>0.54990064971988029</v>
      </c>
      <c r="BM29" s="37">
        <f>AW29/AQ29</f>
        <v>18.179591029407252</v>
      </c>
      <c r="BN29" s="37">
        <f>AU29/AL29</f>
        <v>5.0716496683366801</v>
      </c>
      <c r="BO29" s="37">
        <f>AV29/AP29</f>
        <v>29.622649580999312</v>
      </c>
      <c r="BP29" s="70">
        <f>AH29+AI29+AJ29+AK29+AQ29+AR29+AS29+AT29+AU29</f>
        <v>693.91799555108776</v>
      </c>
      <c r="BQ29" s="69">
        <f>AG29/AM29</f>
        <v>36.867407271212038</v>
      </c>
      <c r="BR29" s="37">
        <f t="shared" si="5"/>
        <v>6.44291301856184</v>
      </c>
      <c r="BS29" s="37">
        <v>7.7567102536753862E-2</v>
      </c>
      <c r="BT29" s="37">
        <f t="shared" si="9"/>
        <v>0.23001309215425991</v>
      </c>
      <c r="BU29" s="37" t="s">
        <v>185</v>
      </c>
    </row>
    <row r="30" spans="1:73" x14ac:dyDescent="0.35">
      <c r="BH30" s="37" t="e">
        <f>AI30/AT30</f>
        <v>#DIV/0!</v>
      </c>
      <c r="BI30" s="37" t="e">
        <f t="shared" si="2"/>
        <v>#DIV/0!</v>
      </c>
      <c r="BK30" s="37" t="e">
        <f t="shared" si="6"/>
        <v>#DIV/0!</v>
      </c>
      <c r="BR30" s="37" t="e">
        <f t="shared" si="5"/>
        <v>#DIV/0!</v>
      </c>
      <c r="BT30" s="37"/>
    </row>
    <row r="31" spans="1:73" s="37" customFormat="1" x14ac:dyDescent="0.35">
      <c r="A31" s="37" t="s">
        <v>121</v>
      </c>
      <c r="B31" s="69" t="s">
        <v>178</v>
      </c>
      <c r="C31" s="62">
        <v>1</v>
      </c>
      <c r="D31" s="31">
        <v>33.299999999999997</v>
      </c>
      <c r="E31" s="31">
        <v>19</v>
      </c>
      <c r="F31" s="31">
        <v>69</v>
      </c>
      <c r="G31" s="13">
        <v>33.299999999999997</v>
      </c>
      <c r="H31" s="13">
        <v>8.5299999999999994</v>
      </c>
      <c r="I31" s="13">
        <v>1.3</v>
      </c>
      <c r="J31" s="13"/>
      <c r="K31" s="13">
        <v>20.68</v>
      </c>
      <c r="L31" s="13">
        <v>0.55000000000000004</v>
      </c>
      <c r="M31" s="13">
        <v>0.51</v>
      </c>
      <c r="N31" s="13">
        <v>32.07</v>
      </c>
      <c r="O31" s="13"/>
      <c r="P31" s="13">
        <v>0.5</v>
      </c>
      <c r="Q31" s="13"/>
      <c r="R31" s="13"/>
      <c r="S31" s="13"/>
      <c r="T31" s="13"/>
      <c r="U31" s="13"/>
      <c r="V31" s="13"/>
      <c r="W31" s="13">
        <v>0</v>
      </c>
      <c r="X31" s="13">
        <v>0.23</v>
      </c>
      <c r="Y31" s="13"/>
      <c r="Z31" s="13"/>
      <c r="AA31" s="13"/>
      <c r="AB31" s="13"/>
      <c r="AC31" s="13">
        <v>97.68</v>
      </c>
      <c r="AD31" s="60">
        <v>25.21163739195093</v>
      </c>
      <c r="AE31" s="60">
        <v>3.42688148895266</v>
      </c>
      <c r="AF31" s="60">
        <v>250.01049504887311</v>
      </c>
      <c r="AG31" s="60">
        <v>4673.9026749723071</v>
      </c>
      <c r="AH31" s="60">
        <v>309.91077120043337</v>
      </c>
      <c r="AI31" s="60">
        <v>50.105501550540787</v>
      </c>
      <c r="AJ31" s="60">
        <v>129.87820864043198</v>
      </c>
      <c r="AK31" s="60">
        <v>38.620265092619228</v>
      </c>
      <c r="AL31" s="60">
        <v>47.204906792063262</v>
      </c>
      <c r="AM31" s="60">
        <v>85.436620082720168</v>
      </c>
      <c r="AN31" s="60">
        <v>5.9448778071964616</v>
      </c>
      <c r="AO31" s="60">
        <v>8.5338082221067442</v>
      </c>
      <c r="AP31" s="60">
        <v>21.591096373464094</v>
      </c>
      <c r="AQ31" s="60">
        <v>11.057827124276663</v>
      </c>
      <c r="AR31" s="60">
        <v>54.47767916730372</v>
      </c>
      <c r="AS31" s="60">
        <v>17.552604935287938</v>
      </c>
      <c r="AT31" s="60">
        <v>209.81588881577363</v>
      </c>
      <c r="AU31" s="60">
        <v>125.31860693905502</v>
      </c>
      <c r="AV31" s="60">
        <v>3146.9932146434826</v>
      </c>
      <c r="AW31" s="60">
        <v>338.06472193034136</v>
      </c>
      <c r="AX31" s="60">
        <v>3037.1375833564994</v>
      </c>
      <c r="AY31" s="60">
        <v>92815.657698047158</v>
      </c>
      <c r="AZ31" s="60">
        <v>9.8273924539130135</v>
      </c>
      <c r="BA31" s="60">
        <v>141.62800872286471</v>
      </c>
      <c r="BB31" s="60">
        <v>44.286033543697656</v>
      </c>
      <c r="BC31" s="60">
        <v>38.244046994115202</v>
      </c>
      <c r="BD31" s="60">
        <v>17.324153251805051</v>
      </c>
      <c r="BE31" s="60">
        <v>35.062822005733658</v>
      </c>
      <c r="BF31" s="72">
        <v>15.486236351934936</v>
      </c>
      <c r="BG31" s="37">
        <v>0.6313458636849314</v>
      </c>
      <c r="BH31" s="37">
        <f t="shared" si="1"/>
        <v>0.23880699328035795</v>
      </c>
      <c r="BI31" s="37">
        <f t="shared" si="2"/>
        <v>0.14423942394133621</v>
      </c>
      <c r="BK31" s="37">
        <f t="shared" si="6"/>
        <v>1.310151657282786</v>
      </c>
      <c r="BL31" s="37">
        <v>0.61933663530386873</v>
      </c>
      <c r="BM31" s="37">
        <v>30.572436892971911</v>
      </c>
      <c r="BN31" s="37">
        <v>2.3504568931778271</v>
      </c>
      <c r="BO31" s="37">
        <v>145.75421091219818</v>
      </c>
      <c r="BP31" s="70">
        <v>895.60333059273466</v>
      </c>
      <c r="BQ31" s="37">
        <v>54.706081191496231</v>
      </c>
      <c r="BR31" s="37">
        <f t="shared" si="5"/>
        <v>0.69662660004431731</v>
      </c>
      <c r="BS31" s="37">
        <v>0.13157593885663979</v>
      </c>
      <c r="BT31" s="37">
        <f t="shared" si="9"/>
        <v>0.23880699328035795</v>
      </c>
      <c r="BU31" s="37" t="s">
        <v>187</v>
      </c>
    </row>
    <row r="32" spans="1:73" x14ac:dyDescent="0.35">
      <c r="BH32" s="37" t="e">
        <f t="shared" si="1"/>
        <v>#DIV/0!</v>
      </c>
      <c r="BI32" s="37" t="e">
        <f t="shared" si="2"/>
        <v>#DIV/0!</v>
      </c>
      <c r="BK32" s="37" t="e">
        <f t="shared" si="6"/>
        <v>#DIV/0!</v>
      </c>
      <c r="BR32" s="37" t="e">
        <f t="shared" si="5"/>
        <v>#DIV/0!</v>
      </c>
      <c r="BT32" s="37" t="e">
        <f t="shared" si="9"/>
        <v>#DIV/0!</v>
      </c>
    </row>
    <row r="33" spans="1:72" s="37" customFormat="1" x14ac:dyDescent="0.35">
      <c r="A33" s="37" t="s">
        <v>121</v>
      </c>
      <c r="B33" s="69" t="s">
        <v>178</v>
      </c>
      <c r="C33" s="18">
        <v>14</v>
      </c>
      <c r="D33" s="18">
        <v>34.92</v>
      </c>
      <c r="E33" s="18">
        <v>20</v>
      </c>
      <c r="F33" s="18">
        <v>74</v>
      </c>
      <c r="G33" s="13">
        <v>34.92</v>
      </c>
      <c r="H33" s="13">
        <v>3.15</v>
      </c>
      <c r="I33" s="13">
        <v>2.17</v>
      </c>
      <c r="J33" s="13"/>
      <c r="K33" s="13">
        <v>22.62</v>
      </c>
      <c r="L33" s="13">
        <v>0.47</v>
      </c>
      <c r="M33" s="13">
        <v>0.4</v>
      </c>
      <c r="N33" s="13">
        <v>32.29</v>
      </c>
      <c r="O33" s="13"/>
      <c r="P33" s="13">
        <v>0.3</v>
      </c>
      <c r="Q33" s="13"/>
      <c r="R33" s="13"/>
      <c r="S33" s="13"/>
      <c r="T33" s="13"/>
      <c r="U33" s="13"/>
      <c r="V33" s="13"/>
      <c r="W33" s="13">
        <v>0</v>
      </c>
      <c r="X33" s="13">
        <v>0</v>
      </c>
      <c r="Y33" s="13"/>
      <c r="Z33" s="13"/>
      <c r="AA33" s="13"/>
      <c r="AB33" s="13"/>
      <c r="AC33" s="13">
        <v>96.38</v>
      </c>
      <c r="AD33" s="60">
        <v>69.045192262597396</v>
      </c>
      <c r="AE33" s="60">
        <v>37.715278356961882</v>
      </c>
      <c r="AF33" s="60">
        <v>271.99034475271407</v>
      </c>
      <c r="AG33" s="60">
        <v>2203.0679845882592</v>
      </c>
      <c r="AH33" s="60">
        <v>175.24994416812436</v>
      </c>
      <c r="AI33" s="60">
        <v>32.299502838926855</v>
      </c>
      <c r="AJ33" s="60">
        <v>79.285201427623647</v>
      </c>
      <c r="AK33" s="60">
        <v>22.297901316695615</v>
      </c>
      <c r="AL33" s="60">
        <v>27.379215075728489</v>
      </c>
      <c r="AM33" s="60">
        <v>41.442989589558685</v>
      </c>
      <c r="AN33" s="60">
        <v>3.5509361555753274</v>
      </c>
      <c r="AO33" s="60">
        <v>4.3589131472616289</v>
      </c>
      <c r="AP33" s="60">
        <v>5.9605493201961508</v>
      </c>
      <c r="AQ33" s="60">
        <v>6.2820708267842429</v>
      </c>
      <c r="AR33" s="60">
        <v>30.827835037596525</v>
      </c>
      <c r="AS33" s="60">
        <v>11.422916408000548</v>
      </c>
      <c r="AT33" s="60">
        <v>127.7134364488721</v>
      </c>
      <c r="AU33" s="60">
        <v>65.668437229854987</v>
      </c>
      <c r="AV33" s="60">
        <v>1073.9873941497444</v>
      </c>
      <c r="AW33" s="60">
        <v>205.20932203673399</v>
      </c>
      <c r="AX33" s="60">
        <v>2580.0441722838877</v>
      </c>
      <c r="AY33" s="60">
        <v>28635.596899487969</v>
      </c>
      <c r="AZ33" s="60">
        <v>21.042483292499195</v>
      </c>
      <c r="BA33" s="60">
        <v>47.332086311341747</v>
      </c>
      <c r="BB33" s="60">
        <v>30.165666915334025</v>
      </c>
      <c r="BC33" s="60">
        <v>21.292759061794683</v>
      </c>
      <c r="BD33" s="60">
        <v>10.300473221024752</v>
      </c>
      <c r="BE33" s="60">
        <v>20.182741821211103</v>
      </c>
      <c r="BF33" s="72">
        <v>4.7778320238475915</v>
      </c>
      <c r="BG33" s="37">
        <v>0.29758810916933282</v>
      </c>
      <c r="BH33" s="37">
        <f t="shared" si="1"/>
        <v>0.25290606640169305</v>
      </c>
      <c r="BI33" s="37">
        <f t="shared" si="2"/>
        <v>0.1527552641066226</v>
      </c>
      <c r="BK33" s="37">
        <f t="shared" si="6"/>
        <v>1.5169242626185269</v>
      </c>
      <c r="BL33" s="37">
        <v>0.76189666347559071</v>
      </c>
      <c r="BM33" s="37">
        <v>32.665872081830621</v>
      </c>
      <c r="BN33" s="37">
        <v>2.2122047302592929</v>
      </c>
      <c r="BO33" s="37">
        <v>180.18262016736429</v>
      </c>
      <c r="BP33" s="70">
        <v>519.98286756952371</v>
      </c>
      <c r="BQ33" s="37">
        <v>53.159002437008283</v>
      </c>
      <c r="BR33" s="37">
        <f t="shared" si="5"/>
        <v>0.81463796951451273</v>
      </c>
      <c r="BS33" s="37">
        <v>2.5891510876563315E-2</v>
      </c>
      <c r="BT33" s="37">
        <f t="shared" si="9"/>
        <v>0.25290606640169305</v>
      </c>
    </row>
    <row r="34" spans="1:72" s="37" customFormat="1" x14ac:dyDescent="0.35">
      <c r="A34" s="37" t="s">
        <v>121</v>
      </c>
      <c r="B34" s="69" t="s">
        <v>178</v>
      </c>
      <c r="C34" s="20">
        <v>17</v>
      </c>
      <c r="D34" s="20">
        <v>35.04</v>
      </c>
      <c r="E34" s="20">
        <v>21</v>
      </c>
      <c r="F34" s="20">
        <v>76</v>
      </c>
      <c r="G34" s="13">
        <v>35.04</v>
      </c>
      <c r="H34" s="13">
        <v>2.54</v>
      </c>
      <c r="I34" s="13">
        <v>2.2799999999999998</v>
      </c>
      <c r="J34" s="13"/>
      <c r="K34" s="13">
        <v>23.16</v>
      </c>
      <c r="L34" s="13">
        <v>0.39</v>
      </c>
      <c r="M34" s="13">
        <v>0.39</v>
      </c>
      <c r="N34" s="13">
        <v>32.4</v>
      </c>
      <c r="O34" s="13"/>
      <c r="P34" s="13">
        <v>0.26</v>
      </c>
      <c r="Q34" s="13"/>
      <c r="R34" s="13"/>
      <c r="S34" s="13"/>
      <c r="T34" s="13"/>
      <c r="U34" s="13"/>
      <c r="V34" s="13"/>
      <c r="W34" s="13">
        <v>0</v>
      </c>
      <c r="X34" s="13">
        <v>0</v>
      </c>
      <c r="Y34" s="13"/>
      <c r="Z34" s="13"/>
      <c r="AA34" s="13"/>
      <c r="AB34" s="13"/>
      <c r="AC34" s="13">
        <v>96.5</v>
      </c>
      <c r="AD34" s="60">
        <v>27.829693794172254</v>
      </c>
      <c r="AE34" s="60">
        <v>2.7445869120361031</v>
      </c>
      <c r="AF34" s="60">
        <v>217.71358452039956</v>
      </c>
      <c r="AG34" s="60">
        <v>2415.2676613173226</v>
      </c>
      <c r="AH34" s="60">
        <v>318.16056673675774</v>
      </c>
      <c r="AI34" s="60">
        <v>42.130248784739521</v>
      </c>
      <c r="AJ34" s="60">
        <v>116.25566824275255</v>
      </c>
      <c r="AK34" s="60">
        <v>25.547944047697818</v>
      </c>
      <c r="AL34" s="60">
        <v>27.078652759552003</v>
      </c>
      <c r="AM34" s="60">
        <v>40.432943346264771</v>
      </c>
      <c r="AN34" s="60">
        <v>6.0178325798618602</v>
      </c>
      <c r="AO34" s="60">
        <v>7.2860455554595678</v>
      </c>
      <c r="AP34" s="60">
        <v>11.421511722262949</v>
      </c>
      <c r="AQ34" s="60">
        <v>7.3478148678531863</v>
      </c>
      <c r="AR34" s="60">
        <v>36.520774364456535</v>
      </c>
      <c r="AS34" s="60">
        <v>13.231599733538838</v>
      </c>
      <c r="AT34" s="60">
        <v>195.82580642758685</v>
      </c>
      <c r="AU34" s="60">
        <v>111.9229908287823</v>
      </c>
      <c r="AV34" s="60">
        <v>1541.0222000930896</v>
      </c>
      <c r="AW34" s="60">
        <v>231.27585093573799</v>
      </c>
      <c r="AX34" s="60">
        <v>2787.8034616155624</v>
      </c>
      <c r="AY34" s="60">
        <v>53028.988749790187</v>
      </c>
      <c r="AZ34" s="60">
        <v>6.8537059412679575</v>
      </c>
      <c r="BA34" s="60">
        <v>204.91441287368755</v>
      </c>
      <c r="BB34" s="60">
        <v>37.624718941633915</v>
      </c>
      <c r="BC34" s="60">
        <v>19.873483039877911</v>
      </c>
      <c r="BD34" s="60">
        <v>12.975295183424061</v>
      </c>
      <c r="BE34" s="60">
        <v>22.883520945474217</v>
      </c>
      <c r="BF34" s="72">
        <v>8.8478547009275577</v>
      </c>
      <c r="BG34" s="37">
        <v>0.32625181859904778</v>
      </c>
      <c r="BH34" s="37">
        <f t="shared" si="1"/>
        <v>0.21514145430223769</v>
      </c>
      <c r="BI34" s="37">
        <f t="shared" si="2"/>
        <v>0.12994543839855155</v>
      </c>
      <c r="BK34" s="37">
        <f t="shared" si="6"/>
        <v>2.1199227483275798</v>
      </c>
      <c r="BL34" s="37">
        <v>0.58308468141907888</v>
      </c>
      <c r="BM34" s="37">
        <v>31.475459724437769</v>
      </c>
      <c r="BN34" s="37">
        <v>4.0396700435198651</v>
      </c>
      <c r="BO34" s="37">
        <v>134.92278759293399</v>
      </c>
      <c r="BP34" s="70">
        <v>805.26522012058626</v>
      </c>
      <c r="BQ34" s="37">
        <v>59.735143213125667</v>
      </c>
      <c r="BR34" s="37">
        <f t="shared" si="5"/>
        <v>0.82593946662227324</v>
      </c>
      <c r="BS34" s="37">
        <v>1.6307872221956978E-2</v>
      </c>
      <c r="BT34" s="37">
        <f t="shared" si="9"/>
        <v>0.21514145430223769</v>
      </c>
    </row>
  </sheetData>
  <autoFilter ref="B1:B25" xr:uid="{B78B844A-2731-4945-98CF-0770F13BEA07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7A4D9-5933-4DC1-9D33-E1E00A8297B9}">
  <dimension ref="A1:AC46"/>
  <sheetViews>
    <sheetView tabSelected="1" workbookViewId="0">
      <pane ySplit="1" topLeftCell="A2" activePane="bottomLeft" state="frozen"/>
      <selection activeCell="R1" sqref="R1"/>
      <selection pane="bottomLeft" activeCell="F3" sqref="F3"/>
    </sheetView>
  </sheetViews>
  <sheetFormatPr defaultRowHeight="14.5" x14ac:dyDescent="0.35"/>
  <cols>
    <col min="10" max="11" width="9.26953125" style="54" bestFit="1" customWidth="1"/>
    <col min="20" max="20" width="12.26953125" style="54" bestFit="1" customWidth="1"/>
    <col min="21" max="21" width="9.26953125" style="54" bestFit="1" customWidth="1"/>
    <col min="22" max="22" width="11.26953125" style="54" bestFit="1" customWidth="1"/>
    <col min="23" max="23" width="12.26953125" style="54" bestFit="1" customWidth="1"/>
    <col min="24" max="24" width="11.26953125" style="54" bestFit="1" customWidth="1"/>
    <col min="25" max="25" width="13.36328125" style="54" bestFit="1" customWidth="1"/>
    <col min="26" max="26" width="9.26953125" style="54" bestFit="1" customWidth="1"/>
    <col min="27" max="27" width="10.26953125" style="54" bestFit="1" customWidth="1"/>
    <col min="28" max="28" width="11.26953125" style="54" bestFit="1" customWidth="1"/>
    <col min="29" max="29" width="10.26953125" style="54" bestFit="1" customWidth="1"/>
  </cols>
  <sheetData>
    <row r="1" spans="1:29" x14ac:dyDescent="0.35">
      <c r="A1" s="55" t="s">
        <v>0</v>
      </c>
      <c r="B1" s="55" t="s">
        <v>147</v>
      </c>
      <c r="C1" s="55" t="s">
        <v>2</v>
      </c>
      <c r="D1" s="55" t="s">
        <v>3</v>
      </c>
      <c r="E1" s="13" t="s">
        <v>159</v>
      </c>
      <c r="F1" s="13" t="s">
        <v>160</v>
      </c>
      <c r="G1" s="13" t="s">
        <v>113</v>
      </c>
      <c r="H1" s="13" t="s">
        <v>161</v>
      </c>
      <c r="I1" s="13" t="s">
        <v>138</v>
      </c>
      <c r="J1" s="13" t="s">
        <v>17</v>
      </c>
      <c r="K1" s="13" t="s">
        <v>162</v>
      </c>
      <c r="L1" s="13" t="s">
        <v>12</v>
      </c>
      <c r="M1" s="13" t="s">
        <v>163</v>
      </c>
      <c r="N1" s="13" t="s">
        <v>142</v>
      </c>
      <c r="O1" s="13" t="s">
        <v>114</v>
      </c>
      <c r="P1" s="13" t="s">
        <v>164</v>
      </c>
      <c r="Q1" s="55">
        <v>5993.4289771090998</v>
      </c>
      <c r="R1" s="13" t="s">
        <v>32</v>
      </c>
      <c r="S1" s="13" t="s">
        <v>33</v>
      </c>
      <c r="T1" s="13" t="s">
        <v>40</v>
      </c>
      <c r="U1" s="13" t="s">
        <v>34</v>
      </c>
      <c r="V1" s="13" t="s">
        <v>26</v>
      </c>
      <c r="W1" s="13" t="s">
        <v>25</v>
      </c>
      <c r="X1" s="13" t="s">
        <v>31</v>
      </c>
      <c r="Y1" s="13" t="s">
        <v>43</v>
      </c>
      <c r="Z1" s="13" t="s">
        <v>37</v>
      </c>
      <c r="AA1" s="13" t="s">
        <v>28</v>
      </c>
      <c r="AB1" s="13" t="s">
        <v>41</v>
      </c>
      <c r="AC1" s="13" t="s">
        <v>30</v>
      </c>
    </row>
    <row r="2" spans="1:29" x14ac:dyDescent="0.35">
      <c r="E2">
        <v>2.9000000000000001E-2</v>
      </c>
      <c r="F2">
        <v>8.0000000000000002E-3</v>
      </c>
      <c r="G2">
        <v>0.246</v>
      </c>
      <c r="H2">
        <v>1.4E-2</v>
      </c>
      <c r="I2">
        <v>0.61199999999999999</v>
      </c>
      <c r="J2">
        <v>3.87</v>
      </c>
      <c r="K2">
        <v>0.1066</v>
      </c>
      <c r="L2">
        <v>445</v>
      </c>
      <c r="M2">
        <v>5.8000000000000003E-2</v>
      </c>
      <c r="N2">
        <v>0.20549999999999999</v>
      </c>
      <c r="O2">
        <v>1.57</v>
      </c>
      <c r="P2">
        <v>0.17</v>
      </c>
      <c r="Q2" t="s">
        <v>192</v>
      </c>
    </row>
    <row r="3" spans="1:29" x14ac:dyDescent="0.35">
      <c r="A3" s="37" t="s">
        <v>122</v>
      </c>
      <c r="B3" s="69" t="s">
        <v>151</v>
      </c>
      <c r="C3" s="29">
        <v>1</v>
      </c>
      <c r="D3" s="29">
        <v>25.48</v>
      </c>
      <c r="E3">
        <f>R3/E$2</f>
        <v>62.513636153352898</v>
      </c>
      <c r="F3">
        <f t="shared" ref="F3:P17" si="0">S3/F$2</f>
        <v>541.17812874363153</v>
      </c>
      <c r="G3">
        <f t="shared" si="0"/>
        <v>1152.6149078846984</v>
      </c>
      <c r="H3">
        <f t="shared" si="0"/>
        <v>4630.81519617699</v>
      </c>
      <c r="I3">
        <f t="shared" si="0"/>
        <v>355.07685972542009</v>
      </c>
      <c r="J3">
        <f t="shared" si="0"/>
        <v>16343.687418777925</v>
      </c>
      <c r="K3">
        <f t="shared" si="0"/>
        <v>10581.875998888438</v>
      </c>
      <c r="L3">
        <f t="shared" si="0"/>
        <v>349.7530644379305</v>
      </c>
      <c r="M3">
        <f t="shared" si="0"/>
        <v>1287.2963340767549</v>
      </c>
      <c r="N3">
        <f>AA3/N$2</f>
        <v>1265.2702418460526</v>
      </c>
      <c r="O3">
        <f t="shared" si="0"/>
        <v>1694.6662196698635</v>
      </c>
      <c r="P3">
        <f t="shared" si="0"/>
        <v>1876.0506803222606</v>
      </c>
      <c r="R3" s="60">
        <v>1.8128954484472342</v>
      </c>
      <c r="S3" s="60">
        <v>4.3294250299490527</v>
      </c>
      <c r="T3" s="60">
        <v>283.5432673396358</v>
      </c>
      <c r="U3" s="60">
        <v>64.831412746477866</v>
      </c>
      <c r="V3" s="60">
        <v>217.3070381519571</v>
      </c>
      <c r="W3" s="60">
        <v>63250.07031067057</v>
      </c>
      <c r="X3" s="60">
        <v>1128.0279814815074</v>
      </c>
      <c r="Y3" s="60">
        <v>155640.11367487907</v>
      </c>
      <c r="Z3" s="60">
        <v>74.663187376451788</v>
      </c>
      <c r="AA3" s="60">
        <v>260.0130346993638</v>
      </c>
      <c r="AB3" s="60">
        <v>2660.6259648816858</v>
      </c>
      <c r="AC3" s="60">
        <v>318.92861565478432</v>
      </c>
    </row>
    <row r="4" spans="1:29" x14ac:dyDescent="0.35">
      <c r="A4" s="37" t="s">
        <v>122</v>
      </c>
      <c r="B4" s="69" t="s">
        <v>151</v>
      </c>
      <c r="C4" s="74" t="s">
        <v>75</v>
      </c>
      <c r="D4" s="74">
        <v>24.49</v>
      </c>
      <c r="E4">
        <f t="shared" ref="E4:E29" si="1">R4/E$2</f>
        <v>47.691111256479978</v>
      </c>
      <c r="F4">
        <f t="shared" si="0"/>
        <v>724.65346035073708</v>
      </c>
      <c r="G4">
        <f>T4/G$2</f>
        <v>1065.5756474124096</v>
      </c>
      <c r="H4">
        <f t="shared" si="0"/>
        <v>6490.085656062417</v>
      </c>
      <c r="I4">
        <f t="shared" si="0"/>
        <v>281.42654025783378</v>
      </c>
      <c r="J4">
        <f t="shared" si="0"/>
        <v>19582.220097474699</v>
      </c>
      <c r="K4">
        <f t="shared" si="0"/>
        <v>12246.599073731646</v>
      </c>
      <c r="L4">
        <f t="shared" si="0"/>
        <v>461.19628293208854</v>
      </c>
      <c r="M4">
        <f t="shared" si="0"/>
        <v>1632.2902884095804</v>
      </c>
      <c r="N4">
        <f t="shared" si="0"/>
        <v>1784.2532582465731</v>
      </c>
      <c r="O4">
        <f t="shared" si="0"/>
        <v>2591.6459758427982</v>
      </c>
      <c r="P4">
        <f t="shared" si="0"/>
        <v>3108.0150200611374</v>
      </c>
      <c r="R4" s="60">
        <v>1.3830422264379194</v>
      </c>
      <c r="S4" s="60">
        <v>5.7972276828058966</v>
      </c>
      <c r="T4" s="60">
        <v>262.13160926345273</v>
      </c>
      <c r="U4" s="60">
        <v>90.86119918487384</v>
      </c>
      <c r="V4" s="60">
        <v>172.23304263779428</v>
      </c>
      <c r="W4" s="60">
        <v>75783.191777227083</v>
      </c>
      <c r="X4" s="60">
        <v>1305.4874612597935</v>
      </c>
      <c r="Y4" s="60">
        <v>205232.34590477939</v>
      </c>
      <c r="Z4" s="60">
        <v>94.672836727755666</v>
      </c>
      <c r="AA4" s="60">
        <v>366.66404456967075</v>
      </c>
      <c r="AB4" s="60">
        <v>4068.8841820731932</v>
      </c>
      <c r="AC4" s="60">
        <v>528.36255341039339</v>
      </c>
    </row>
    <row r="5" spans="1:29" x14ac:dyDescent="0.35">
      <c r="J5"/>
      <c r="K5"/>
      <c r="R5" s="54"/>
      <c r="S5" s="54"/>
    </row>
    <row r="6" spans="1:29" x14ac:dyDescent="0.35">
      <c r="A6" s="37"/>
      <c r="B6" s="69"/>
      <c r="C6" s="62"/>
      <c r="D6" s="31"/>
      <c r="J6"/>
      <c r="K6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</row>
    <row r="7" spans="1:29" x14ac:dyDescent="0.35">
      <c r="A7" s="37" t="s">
        <v>121</v>
      </c>
      <c r="B7" s="69" t="s">
        <v>150</v>
      </c>
      <c r="C7" s="18">
        <v>11</v>
      </c>
      <c r="D7" s="18">
        <v>28.37</v>
      </c>
      <c r="E7">
        <f t="shared" si="1"/>
        <v>565.79518221912838</v>
      </c>
      <c r="F7">
        <f t="shared" si="0"/>
        <v>1574.0772950118119</v>
      </c>
      <c r="G7">
        <f t="shared" si="0"/>
        <v>18874.694615893171</v>
      </c>
      <c r="H7">
        <f t="shared" si="0"/>
        <v>3078.1103834890278</v>
      </c>
      <c r="I7">
        <f t="shared" si="0"/>
        <v>840.51210678456459</v>
      </c>
      <c r="J7">
        <f t="shared" si="0"/>
        <v>2132.3008789188584</v>
      </c>
      <c r="K7">
        <f t="shared" si="0"/>
        <v>1109.2173112864414</v>
      </c>
      <c r="L7">
        <f t="shared" si="0"/>
        <v>349.0862215047311</v>
      </c>
      <c r="M7">
        <f t="shared" si="0"/>
        <v>622.38657560652996</v>
      </c>
      <c r="N7">
        <f t="shared" si="0"/>
        <v>567.08594537493343</v>
      </c>
      <c r="O7">
        <f t="shared" si="0"/>
        <v>344.9101856474154</v>
      </c>
      <c r="P7">
        <f t="shared" si="0"/>
        <v>286.43608552393272</v>
      </c>
      <c r="R7" s="60">
        <v>16.408060284354725</v>
      </c>
      <c r="S7" s="60">
        <v>12.592618360094495</v>
      </c>
      <c r="T7" s="60">
        <v>4643.1748755097206</v>
      </c>
      <c r="U7" s="60">
        <v>43.093545368846392</v>
      </c>
      <c r="V7" s="60">
        <v>514.39340935215353</v>
      </c>
      <c r="W7" s="60">
        <v>8252.004401415983</v>
      </c>
      <c r="X7" s="60">
        <v>118.24256538313465</v>
      </c>
      <c r="Y7" s="60">
        <v>155343.36856960534</v>
      </c>
      <c r="Z7" s="60">
        <v>36.098421385178739</v>
      </c>
      <c r="AA7" s="60">
        <v>116.5361617745488</v>
      </c>
      <c r="AB7" s="60">
        <v>541.50899146644224</v>
      </c>
      <c r="AC7" s="60">
        <v>48.694134539068564</v>
      </c>
    </row>
    <row r="8" spans="1:29" x14ac:dyDescent="0.35">
      <c r="A8" s="37" t="s">
        <v>121</v>
      </c>
      <c r="B8" s="69" t="s">
        <v>150</v>
      </c>
      <c r="C8" s="18">
        <v>12</v>
      </c>
      <c r="D8" s="18">
        <v>27.19</v>
      </c>
      <c r="E8">
        <f t="shared" si="1"/>
        <v>394.94403528322567</v>
      </c>
      <c r="F8">
        <f t="shared" si="0"/>
        <v>1293.3090395335241</v>
      </c>
      <c r="G8">
        <f t="shared" si="0"/>
        <v>12756.080089125448</v>
      </c>
      <c r="H8">
        <f t="shared" si="0"/>
        <v>3238.569841407505</v>
      </c>
      <c r="I8">
        <f t="shared" si="0"/>
        <v>788.91237189349567</v>
      </c>
      <c r="J8">
        <f t="shared" si="0"/>
        <v>2313.5122872695943</v>
      </c>
      <c r="K8">
        <f t="shared" si="0"/>
        <v>1577.719485679354</v>
      </c>
      <c r="L8">
        <f t="shared" si="0"/>
        <v>364.00701722443506</v>
      </c>
      <c r="M8">
        <f t="shared" si="0"/>
        <v>814.91654473859626</v>
      </c>
      <c r="N8">
        <f t="shared" si="0"/>
        <v>633.68958788239559</v>
      </c>
      <c r="O8">
        <f t="shared" si="0"/>
        <v>489.19830169925643</v>
      </c>
      <c r="P8">
        <f t="shared" si="0"/>
        <v>461.39069129654018</v>
      </c>
      <c r="R8" s="60">
        <v>11.453377023213545</v>
      </c>
      <c r="S8" s="60">
        <v>10.346472316268192</v>
      </c>
      <c r="T8" s="60">
        <v>3137.99570192486</v>
      </c>
      <c r="U8" s="60">
        <v>45.339977779705073</v>
      </c>
      <c r="V8" s="60">
        <v>482.81437159881932</v>
      </c>
      <c r="W8" s="60">
        <v>8953.2925517333297</v>
      </c>
      <c r="X8" s="60">
        <v>168.18489717341913</v>
      </c>
      <c r="Y8" s="60">
        <v>161983.1226648736</v>
      </c>
      <c r="Z8" s="60">
        <v>47.265159594838586</v>
      </c>
      <c r="AA8" s="60">
        <v>130.2232103098323</v>
      </c>
      <c r="AB8" s="60">
        <v>768.04133366783265</v>
      </c>
      <c r="AC8" s="60">
        <v>78.436417520411837</v>
      </c>
    </row>
    <row r="9" spans="1:29" x14ac:dyDescent="0.35">
      <c r="A9" s="37" t="s">
        <v>121</v>
      </c>
      <c r="B9" s="69" t="s">
        <v>150</v>
      </c>
      <c r="C9" s="18">
        <v>13</v>
      </c>
      <c r="D9" s="18">
        <v>30.62</v>
      </c>
      <c r="E9">
        <v>94.022210489304541</v>
      </c>
      <c r="F9">
        <v>910.99934264270496</v>
      </c>
      <c r="G9">
        <v>6602.0122568800361</v>
      </c>
      <c r="H9">
        <v>616.65661165323218</v>
      </c>
      <c r="I9">
        <v>329.04147304097114</v>
      </c>
      <c r="J9">
        <v>630.46235947418756</v>
      </c>
      <c r="K9">
        <v>430.97252516007251</v>
      </c>
      <c r="L9">
        <v>120.23562475278194</v>
      </c>
      <c r="M9">
        <v>225.54752848581495</v>
      </c>
      <c r="N9">
        <v>370.33441584464163</v>
      </c>
      <c r="O9">
        <v>106.70311192363673</v>
      </c>
      <c r="P9">
        <v>147.83659844887282</v>
      </c>
      <c r="R9" s="60">
        <v>7.9918878915908866</v>
      </c>
      <c r="S9" s="60">
        <v>19.130986195496806</v>
      </c>
      <c r="T9" s="60">
        <v>4707.2347391554658</v>
      </c>
      <c r="U9" s="60">
        <v>25.282921077782518</v>
      </c>
      <c r="V9" s="60">
        <v>584.04861464772375</v>
      </c>
      <c r="W9" s="60">
        <v>7061.1784261109005</v>
      </c>
      <c r="X9" s="60">
        <v>133.1705102744624</v>
      </c>
      <c r="Y9" s="60">
        <v>156306.31217861653</v>
      </c>
      <c r="Z9" s="60">
        <v>28.595385659198634</v>
      </c>
      <c r="AA9" s="60">
        <v>75.680525968323863</v>
      </c>
      <c r="AB9" s="60">
        <v>485.49915925254709</v>
      </c>
      <c r="AC9" s="60">
        <v>56.248096150880549</v>
      </c>
    </row>
    <row r="10" spans="1:29" x14ac:dyDescent="0.35">
      <c r="A10" s="37"/>
      <c r="B10" s="69"/>
      <c r="C10" s="18"/>
      <c r="D10" s="18"/>
      <c r="J10"/>
      <c r="K1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</row>
    <row r="11" spans="1:29" x14ac:dyDescent="0.35">
      <c r="A11" s="37" t="s">
        <v>121</v>
      </c>
      <c r="B11" s="69" t="s">
        <v>150</v>
      </c>
      <c r="C11" s="20">
        <v>16</v>
      </c>
      <c r="D11" s="20">
        <v>28.28</v>
      </c>
      <c r="E11">
        <f t="shared" si="1"/>
        <v>382.7809109903294</v>
      </c>
      <c r="F11">
        <f t="shared" si="0"/>
        <v>1270.1811956945312</v>
      </c>
      <c r="G11">
        <f t="shared" si="0"/>
        <v>13145.329854274029</v>
      </c>
      <c r="H11">
        <f t="shared" si="0"/>
        <v>2581.1083422973752</v>
      </c>
      <c r="I11">
        <f t="shared" si="0"/>
        <v>633.37705790941777</v>
      </c>
      <c r="J11">
        <f t="shared" si="0"/>
        <v>1749.5916804036194</v>
      </c>
      <c r="K11">
        <f t="shared" si="0"/>
        <v>1130.2471966034075</v>
      </c>
      <c r="L11">
        <f t="shared" si="0"/>
        <v>269.61835027015343</v>
      </c>
      <c r="M11">
        <f t="shared" si="0"/>
        <v>540.46286239249355</v>
      </c>
      <c r="N11">
        <f t="shared" si="0"/>
        <v>450.46491468828543</v>
      </c>
      <c r="O11">
        <f t="shared" si="0"/>
        <v>303.86499173832755</v>
      </c>
      <c r="P11">
        <f t="shared" si="0"/>
        <v>267.85696022173795</v>
      </c>
      <c r="R11" s="60">
        <v>11.100646418719553</v>
      </c>
      <c r="S11" s="60">
        <v>10.16144956555625</v>
      </c>
      <c r="T11" s="60">
        <v>3233.7511441514112</v>
      </c>
      <c r="U11" s="60">
        <v>36.135516792163251</v>
      </c>
      <c r="V11" s="60">
        <v>387.62675944056366</v>
      </c>
      <c r="W11" s="60">
        <v>6770.9198031620072</v>
      </c>
      <c r="X11" s="60">
        <v>120.48435115792323</v>
      </c>
      <c r="Y11" s="60">
        <v>119980.16587021828</v>
      </c>
      <c r="Z11" s="60">
        <v>31.34684601876463</v>
      </c>
      <c r="AA11" s="60">
        <v>92.570539968442645</v>
      </c>
      <c r="AB11" s="60">
        <v>477.06803702917426</v>
      </c>
      <c r="AC11" s="60">
        <v>45.535683237695459</v>
      </c>
    </row>
    <row r="12" spans="1:29" x14ac:dyDescent="0.35">
      <c r="A12" s="37"/>
      <c r="B12" s="69"/>
      <c r="C12" s="20"/>
      <c r="D12" s="20"/>
      <c r="J12"/>
      <c r="K12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</row>
    <row r="13" spans="1:29" x14ac:dyDescent="0.35">
      <c r="A13" s="37" t="s">
        <v>118</v>
      </c>
      <c r="B13" s="69" t="s">
        <v>150</v>
      </c>
      <c r="C13" s="31">
        <v>26</v>
      </c>
      <c r="D13" s="31">
        <v>28.03</v>
      </c>
      <c r="E13">
        <f t="shared" si="1"/>
        <v>331.81401614789701</v>
      </c>
      <c r="F13">
        <f t="shared" si="0"/>
        <v>7020.7985601167456</v>
      </c>
      <c r="G13">
        <f t="shared" si="0"/>
        <v>48024.263943258666</v>
      </c>
      <c r="H13">
        <f t="shared" si="0"/>
        <v>2694.2099853591312</v>
      </c>
      <c r="I13">
        <f t="shared" si="0"/>
        <v>454.28045734804238</v>
      </c>
      <c r="J13">
        <f t="shared" si="0"/>
        <v>4237.8695859572608</v>
      </c>
      <c r="K13">
        <f t="shared" si="0"/>
        <v>2180.8488503275016</v>
      </c>
      <c r="L13">
        <f t="shared" si="0"/>
        <v>286.89853388161072</v>
      </c>
      <c r="M13">
        <f t="shared" si="0"/>
        <v>745.07829011771094</v>
      </c>
      <c r="N13">
        <f t="shared" si="0"/>
        <v>635.23873641395755</v>
      </c>
      <c r="O13">
        <f t="shared" si="0"/>
        <v>727.5779393846251</v>
      </c>
      <c r="P13">
        <f t="shared" si="0"/>
        <v>823.07230500408764</v>
      </c>
      <c r="R13" s="60">
        <v>9.622606468289014</v>
      </c>
      <c r="S13" s="60">
        <v>56.166388480933968</v>
      </c>
      <c r="T13" s="60">
        <v>11813.968930041632</v>
      </c>
      <c r="U13" s="60">
        <v>37.718939795027836</v>
      </c>
      <c r="V13" s="60">
        <v>278.01963989700192</v>
      </c>
      <c r="W13" s="60">
        <v>16400.555297654599</v>
      </c>
      <c r="X13" s="60">
        <v>232.47848744491165</v>
      </c>
      <c r="Y13" s="60">
        <v>127669.84757731676</v>
      </c>
      <c r="Z13" s="60">
        <v>43.214540826827239</v>
      </c>
      <c r="AA13" s="60">
        <v>130.54156033306828</v>
      </c>
      <c r="AB13" s="60">
        <v>1142.2973648338614</v>
      </c>
      <c r="AC13" s="60">
        <v>139.9222918506949</v>
      </c>
    </row>
    <row r="14" spans="1:29" x14ac:dyDescent="0.35">
      <c r="J14"/>
      <c r="K14"/>
      <c r="R14" s="54"/>
      <c r="S14" s="54"/>
    </row>
    <row r="15" spans="1:29" x14ac:dyDescent="0.35">
      <c r="A15" s="37" t="s">
        <v>117</v>
      </c>
      <c r="B15" s="37" t="s">
        <v>152</v>
      </c>
      <c r="C15" s="58">
        <v>15</v>
      </c>
      <c r="D15" s="58">
        <v>35.86</v>
      </c>
      <c r="E15">
        <f t="shared" si="1"/>
        <v>1153.0975486263874</v>
      </c>
      <c r="F15">
        <f t="shared" si="0"/>
        <v>3855.7250737922004</v>
      </c>
      <c r="G15">
        <f t="shared" si="0"/>
        <v>1400.1693673153443</v>
      </c>
      <c r="H15">
        <f t="shared" si="0"/>
        <v>614.23411051738572</v>
      </c>
      <c r="I15">
        <f t="shared" si="0"/>
        <v>2911.2738874390284</v>
      </c>
      <c r="J15">
        <f t="shared" si="0"/>
        <v>189.61918184654147</v>
      </c>
      <c r="K15">
        <f t="shared" si="0"/>
        <v>93.353043943707178</v>
      </c>
      <c r="L15">
        <f t="shared" si="0"/>
        <v>14.366728688679384</v>
      </c>
      <c r="M15">
        <f t="shared" si="0"/>
        <v>191.2916629142033</v>
      </c>
      <c r="N15">
        <f t="shared" si="0"/>
        <v>267.42396449159799</v>
      </c>
      <c r="O15">
        <f t="shared" si="0"/>
        <v>42.945868041496851</v>
      </c>
      <c r="P15">
        <f t="shared" si="0"/>
        <v>20.634994760028086</v>
      </c>
      <c r="R15" s="60">
        <v>33.439828910165232</v>
      </c>
      <c r="S15" s="60">
        <v>30.845800590337603</v>
      </c>
      <c r="T15" s="60">
        <v>344.4416643595747</v>
      </c>
      <c r="U15" s="60">
        <v>8.5992775472433998</v>
      </c>
      <c r="V15" s="60">
        <v>1781.6996191126852</v>
      </c>
      <c r="W15" s="60">
        <v>733.82623374611546</v>
      </c>
      <c r="X15" s="60">
        <v>9.9514344843991847</v>
      </c>
      <c r="Y15" s="60">
        <v>6393.1942664623257</v>
      </c>
      <c r="Z15" s="60">
        <v>11.094916449023792</v>
      </c>
      <c r="AA15" s="60">
        <v>54.955624703023382</v>
      </c>
      <c r="AB15" s="60">
        <v>67.425012825150063</v>
      </c>
      <c r="AC15" s="60">
        <v>3.507949109204775</v>
      </c>
    </row>
    <row r="16" spans="1:29" x14ac:dyDescent="0.35">
      <c r="A16" s="37" t="s">
        <v>117</v>
      </c>
      <c r="B16" s="37" t="s">
        <v>152</v>
      </c>
      <c r="C16" s="58">
        <v>16</v>
      </c>
      <c r="D16" s="58">
        <v>35.76</v>
      </c>
      <c r="E16">
        <f t="shared" si="1"/>
        <v>1023.3348158003505</v>
      </c>
      <c r="F16">
        <f t="shared" si="0"/>
        <v>907.63781959678442</v>
      </c>
      <c r="G16">
        <f t="shared" si="0"/>
        <v>1030.7922070386273</v>
      </c>
      <c r="H16">
        <f t="shared" si="0"/>
        <v>602.96570887481448</v>
      </c>
      <c r="I16">
        <f t="shared" si="0"/>
        <v>975.14339960782831</v>
      </c>
      <c r="J16">
        <f t="shared" si="0"/>
        <v>89.884563356383651</v>
      </c>
      <c r="K16">
        <f t="shared" si="0"/>
        <v>61.05482922063009</v>
      </c>
      <c r="L16">
        <f t="shared" si="0"/>
        <v>13.121638461225489</v>
      </c>
      <c r="M16">
        <f t="shared" si="0"/>
        <v>179.14956650303668</v>
      </c>
      <c r="N16">
        <f t="shared" si="0"/>
        <v>117.85759891525298</v>
      </c>
      <c r="O16">
        <f t="shared" si="0"/>
        <v>27.488139410854519</v>
      </c>
      <c r="P16">
        <f t="shared" si="0"/>
        <v>26.14771387999016</v>
      </c>
      <c r="R16" s="60">
        <v>29.676709658210164</v>
      </c>
      <c r="S16" s="60">
        <v>7.2611025567742757</v>
      </c>
      <c r="T16" s="60">
        <v>253.57488293150232</v>
      </c>
      <c r="U16" s="60">
        <v>8.4415199242474035</v>
      </c>
      <c r="V16" s="60">
        <v>596.78776055999094</v>
      </c>
      <c r="W16" s="60">
        <v>347.85326018920472</v>
      </c>
      <c r="X16" s="60">
        <v>6.5084447949191677</v>
      </c>
      <c r="Y16" s="60">
        <v>5839.1291152453423</v>
      </c>
      <c r="Z16" s="60">
        <v>10.390674857176128</v>
      </c>
      <c r="AA16" s="60">
        <v>24.219736577084486</v>
      </c>
      <c r="AB16" s="60">
        <v>43.156378875041597</v>
      </c>
      <c r="AC16" s="60">
        <v>4.4451113595983278</v>
      </c>
    </row>
    <row r="17" spans="1:29" x14ac:dyDescent="0.35">
      <c r="A17" s="37" t="s">
        <v>117</v>
      </c>
      <c r="B17" s="37" t="s">
        <v>152</v>
      </c>
      <c r="C17" s="58">
        <v>21</v>
      </c>
      <c r="D17" s="58">
        <v>36.24</v>
      </c>
      <c r="E17">
        <f t="shared" si="1"/>
        <v>683.48199034960749</v>
      </c>
      <c r="F17">
        <f t="shared" si="0"/>
        <v>734.07180658599839</v>
      </c>
      <c r="G17">
        <f t="shared" si="0"/>
        <v>4539.0362363644754</v>
      </c>
      <c r="H17">
        <f t="shared" si="0"/>
        <v>895.4845790769989</v>
      </c>
      <c r="I17">
        <f t="shared" si="0"/>
        <v>685.11591774247154</v>
      </c>
      <c r="J17">
        <f t="shared" si="0"/>
        <v>40.84046926423337</v>
      </c>
      <c r="K17">
        <f t="shared" si="0"/>
        <v>38.713506048644739</v>
      </c>
      <c r="L17">
        <f t="shared" si="0"/>
        <v>23.649813854267087</v>
      </c>
      <c r="M17">
        <f t="shared" si="0"/>
        <v>120.39231451748871</v>
      </c>
      <c r="N17">
        <f t="shared" si="0"/>
        <v>86.361000500431274</v>
      </c>
      <c r="O17">
        <f t="shared" si="0"/>
        <v>15.54719376967641</v>
      </c>
      <c r="P17">
        <f t="shared" si="0"/>
        <v>8.7975975345262381</v>
      </c>
      <c r="R17" s="60">
        <v>19.820977720138618</v>
      </c>
      <c r="S17" s="60">
        <v>5.8725744526879868</v>
      </c>
      <c r="T17" s="60">
        <v>1116.6029141456609</v>
      </c>
      <c r="U17" s="60">
        <v>12.536784107077985</v>
      </c>
      <c r="V17" s="60">
        <v>419.29094165839257</v>
      </c>
      <c r="W17" s="60">
        <v>158.05261605258315</v>
      </c>
      <c r="X17" s="60">
        <v>4.1268597447855289</v>
      </c>
      <c r="Y17" s="60">
        <v>10524.167165148854</v>
      </c>
      <c r="Z17" s="60">
        <v>6.9827542420143454</v>
      </c>
      <c r="AA17" s="60">
        <v>17.747185602838627</v>
      </c>
      <c r="AB17" s="60">
        <v>24.409094218391964</v>
      </c>
      <c r="AC17" s="60">
        <v>1.4955915808694606</v>
      </c>
    </row>
    <row r="18" spans="1:29" x14ac:dyDescent="0.35">
      <c r="J18"/>
      <c r="K18"/>
      <c r="R18" s="54"/>
      <c r="S18" s="54"/>
    </row>
    <row r="19" spans="1:29" x14ac:dyDescent="0.35">
      <c r="A19" s="37" t="s">
        <v>119</v>
      </c>
      <c r="B19" s="69" t="s">
        <v>148</v>
      </c>
      <c r="C19" s="20">
        <v>44</v>
      </c>
      <c r="D19" s="20">
        <v>33.64</v>
      </c>
      <c r="E19">
        <f t="shared" si="1"/>
        <v>283.2112806453369</v>
      </c>
      <c r="F19">
        <f t="shared" ref="F19:F30" si="2">S19/F$2</f>
        <v>222.93093779436276</v>
      </c>
      <c r="G19">
        <f t="shared" ref="G19:G30" si="3">T19/G$2</f>
        <v>1120.7906367235312</v>
      </c>
      <c r="H19">
        <f t="shared" ref="H19:H30" si="4">U19/H$2</f>
        <v>250.99569434075548</v>
      </c>
      <c r="I19">
        <f t="shared" ref="I19:I30" si="5">V19/I$2</f>
        <v>275.38335645927447</v>
      </c>
      <c r="J19">
        <f t="shared" ref="J19:J30" si="6">W19/J$2</f>
        <v>50.22802136451179</v>
      </c>
      <c r="K19">
        <f t="shared" ref="K19:K30" si="7">X19/K$2</f>
        <v>48.377550840247849</v>
      </c>
      <c r="L19">
        <f t="shared" ref="L19:L30" si="8">Y19/L$2</f>
        <v>152.12125409370594</v>
      </c>
      <c r="M19">
        <f t="shared" ref="M19:M30" si="9">Z19/M$2</f>
        <v>50.077645141973349</v>
      </c>
      <c r="N19">
        <f t="shared" ref="N19:N30" si="10">AA19/N$2</f>
        <v>43.081679924074052</v>
      </c>
      <c r="O19">
        <f t="shared" ref="O19:O30" si="11">AB19/O$2</f>
        <v>19.195311096772034</v>
      </c>
      <c r="P19">
        <f t="shared" ref="P19:P30" si="12">AC19/P$2</f>
        <v>8.0095222407714921</v>
      </c>
      <c r="R19" s="60">
        <v>8.2131271387147713</v>
      </c>
      <c r="S19" s="60">
        <v>1.7834475023549021</v>
      </c>
      <c r="T19" s="60">
        <v>275.71449663398869</v>
      </c>
      <c r="U19" s="60">
        <v>3.5139397207705767</v>
      </c>
      <c r="V19" s="60">
        <v>168.53461415307598</v>
      </c>
      <c r="W19" s="60">
        <v>194.38244268066063</v>
      </c>
      <c r="X19" s="60">
        <v>5.1570469195704209</v>
      </c>
      <c r="Y19" s="60">
        <v>67693.958071699148</v>
      </c>
      <c r="Z19" s="60">
        <v>2.9045034182344542</v>
      </c>
      <c r="AA19" s="60">
        <v>8.8532852243972169</v>
      </c>
      <c r="AB19" s="60">
        <v>30.136638421932094</v>
      </c>
      <c r="AC19" s="60">
        <v>1.3616187809311537</v>
      </c>
    </row>
    <row r="20" spans="1:29" x14ac:dyDescent="0.35">
      <c r="A20" s="37" t="s">
        <v>119</v>
      </c>
      <c r="B20" s="69" t="s">
        <v>148</v>
      </c>
      <c r="C20" s="20">
        <v>45</v>
      </c>
      <c r="D20" s="20">
        <v>35.58</v>
      </c>
      <c r="E20">
        <f t="shared" si="1"/>
        <v>355.72077641829617</v>
      </c>
      <c r="F20">
        <f t="shared" si="2"/>
        <v>183.42760236462252</v>
      </c>
      <c r="G20">
        <f t="shared" si="3"/>
        <v>541.13952966686713</v>
      </c>
      <c r="H20">
        <f t="shared" si="4"/>
        <v>172.14350385633483</v>
      </c>
      <c r="I20">
        <f t="shared" si="5"/>
        <v>248.63463157541392</v>
      </c>
      <c r="J20">
        <f t="shared" si="6"/>
        <v>15.234881019980813</v>
      </c>
      <c r="K20">
        <f t="shared" si="7"/>
        <v>25.6030738852692</v>
      </c>
      <c r="L20">
        <f t="shared" si="8"/>
        <v>22.197160057658557</v>
      </c>
      <c r="M20">
        <f t="shared" si="9"/>
        <v>39.129849645642174</v>
      </c>
      <c r="N20">
        <f t="shared" si="10"/>
        <v>28.245584655413094</v>
      </c>
      <c r="O20">
        <f t="shared" si="11"/>
        <v>16.49625687473684</v>
      </c>
      <c r="P20">
        <f t="shared" si="12"/>
        <v>12.970539073489853</v>
      </c>
      <c r="R20" s="60">
        <v>10.31590251613059</v>
      </c>
      <c r="S20" s="60">
        <v>1.4674208189169802</v>
      </c>
      <c r="T20" s="60">
        <v>133.12032429804933</v>
      </c>
      <c r="U20" s="60">
        <v>2.4100090539886878</v>
      </c>
      <c r="V20" s="60">
        <v>152.16439452415332</v>
      </c>
      <c r="W20" s="60">
        <v>58.95898954732575</v>
      </c>
      <c r="X20" s="60">
        <v>2.7292876761696969</v>
      </c>
      <c r="Y20" s="60">
        <v>9877.7362256580582</v>
      </c>
      <c r="Z20" s="60">
        <v>2.2695312794472464</v>
      </c>
      <c r="AA20" s="60">
        <v>5.8044676466873906</v>
      </c>
      <c r="AB20" s="60">
        <v>25.899123293336839</v>
      </c>
      <c r="AC20" s="60">
        <v>2.2049916424932752</v>
      </c>
    </row>
    <row r="21" spans="1:29" x14ac:dyDescent="0.35">
      <c r="A21" s="37" t="s">
        <v>120</v>
      </c>
      <c r="B21" s="69" t="s">
        <v>148</v>
      </c>
      <c r="C21" s="75" t="s">
        <v>157</v>
      </c>
      <c r="D21" s="75">
        <v>35.520000000000003</v>
      </c>
      <c r="E21">
        <f t="shared" si="1"/>
        <v>88.871581808281036</v>
      </c>
      <c r="F21">
        <f t="shared" si="2"/>
        <v>148.79932087016414</v>
      </c>
      <c r="G21">
        <f t="shared" si="3"/>
        <v>368.42363686435232</v>
      </c>
      <c r="H21">
        <f t="shared" si="4"/>
        <v>195.5255817785266</v>
      </c>
      <c r="I21">
        <f t="shared" si="5"/>
        <v>131.63281468893675</v>
      </c>
      <c r="J21">
        <f t="shared" si="6"/>
        <v>128.33415274543364</v>
      </c>
      <c r="K21">
        <f t="shared" si="7"/>
        <v>108.94693861728369</v>
      </c>
      <c r="L21">
        <f t="shared" si="8"/>
        <v>33.64267479557067</v>
      </c>
      <c r="M21">
        <f t="shared" si="9"/>
        <v>60.673428963235828</v>
      </c>
      <c r="N21">
        <f t="shared" si="10"/>
        <v>36.56442670074567</v>
      </c>
      <c r="O21">
        <f t="shared" si="11"/>
        <v>13.403794899178186</v>
      </c>
      <c r="P21">
        <f t="shared" si="12"/>
        <v>9.0308950707849007</v>
      </c>
      <c r="R21" s="60">
        <v>2.5772758724401501</v>
      </c>
      <c r="S21" s="60">
        <v>1.1903945669613132</v>
      </c>
      <c r="T21" s="60">
        <v>90.632214668630667</v>
      </c>
      <c r="U21" s="60">
        <v>2.7373581448993725</v>
      </c>
      <c r="V21" s="60">
        <v>80.559282589629291</v>
      </c>
      <c r="W21" s="60">
        <v>496.65317112482819</v>
      </c>
      <c r="X21" s="60">
        <v>11.613743656602441</v>
      </c>
      <c r="Y21" s="60">
        <v>14970.990284028949</v>
      </c>
      <c r="Z21" s="60">
        <v>3.5190588798676781</v>
      </c>
      <c r="AA21" s="60">
        <v>7.5139896870032343</v>
      </c>
      <c r="AB21" s="60">
        <v>21.043957991709753</v>
      </c>
      <c r="AC21" s="60">
        <v>1.5352521620334332</v>
      </c>
    </row>
    <row r="22" spans="1:29" x14ac:dyDescent="0.35">
      <c r="A22" s="37" t="s">
        <v>121</v>
      </c>
      <c r="B22" s="69" t="s">
        <v>148</v>
      </c>
      <c r="C22" s="62">
        <v>3</v>
      </c>
      <c r="D22" s="31">
        <v>34.630000000000003</v>
      </c>
      <c r="E22">
        <f t="shared" si="1"/>
        <v>102.45460378539128</v>
      </c>
      <c r="F22">
        <f t="shared" si="2"/>
        <v>148.39498503298501</v>
      </c>
      <c r="G22">
        <f t="shared" si="3"/>
        <v>871.72655873547694</v>
      </c>
      <c r="H22">
        <f t="shared" si="4"/>
        <v>87.830714474921493</v>
      </c>
      <c r="I22">
        <f t="shared" si="5"/>
        <v>70.114969138710023</v>
      </c>
      <c r="J22">
        <f t="shared" si="6"/>
        <v>180.09980381116918</v>
      </c>
      <c r="K22">
        <f t="shared" si="7"/>
        <v>127.56663699358938</v>
      </c>
      <c r="L22">
        <f t="shared" si="8"/>
        <v>53.952574931891448</v>
      </c>
      <c r="M22">
        <f t="shared" si="9"/>
        <v>46.744862806981267</v>
      </c>
      <c r="N22">
        <f t="shared" si="10"/>
        <v>43.723938709459475</v>
      </c>
      <c r="O22">
        <f t="shared" si="11"/>
        <v>23.912734145281483</v>
      </c>
      <c r="P22">
        <f t="shared" si="12"/>
        <v>20.85918244428251</v>
      </c>
      <c r="R22" s="60">
        <v>2.9711835097763473</v>
      </c>
      <c r="S22" s="60">
        <v>1.1871598802638801</v>
      </c>
      <c r="T22" s="60">
        <v>214.44473344892734</v>
      </c>
      <c r="U22" s="60">
        <v>1.2296300026489009</v>
      </c>
      <c r="V22" s="60">
        <v>42.910361112890534</v>
      </c>
      <c r="W22" s="60">
        <v>696.98624074922475</v>
      </c>
      <c r="X22" s="60">
        <v>13.598603503516628</v>
      </c>
      <c r="Y22" s="60">
        <v>24008.895844691695</v>
      </c>
      <c r="Z22" s="60">
        <v>2.7112020428049135</v>
      </c>
      <c r="AA22" s="60">
        <v>8.9852694047939217</v>
      </c>
      <c r="AB22" s="60">
        <v>37.542992608091929</v>
      </c>
      <c r="AC22" s="60">
        <v>3.5460610155280268</v>
      </c>
    </row>
    <row r="23" spans="1:29" x14ac:dyDescent="0.35">
      <c r="J23"/>
      <c r="K23"/>
      <c r="R23" s="54"/>
      <c r="S23" s="54"/>
    </row>
    <row r="24" spans="1:29" x14ac:dyDescent="0.35">
      <c r="A24" s="37" t="s">
        <v>118</v>
      </c>
      <c r="B24" s="69" t="s">
        <v>149</v>
      </c>
      <c r="C24" s="31">
        <v>27</v>
      </c>
      <c r="D24" s="31">
        <v>29.99</v>
      </c>
      <c r="E24">
        <f t="shared" si="1"/>
        <v>871.42546088159781</v>
      </c>
      <c r="F24">
        <f t="shared" si="2"/>
        <v>6171.4573777364412</v>
      </c>
      <c r="G24">
        <f t="shared" si="3"/>
        <v>9029.0532962739253</v>
      </c>
      <c r="H24">
        <f t="shared" si="4"/>
        <v>1077.0901265652874</v>
      </c>
      <c r="I24">
        <f t="shared" si="5"/>
        <v>755.99495961878665</v>
      </c>
      <c r="J24">
        <f t="shared" si="6"/>
        <v>1401.821709576408</v>
      </c>
      <c r="K24">
        <f t="shared" si="7"/>
        <v>688.79487563582711</v>
      </c>
      <c r="L24">
        <f t="shared" si="8"/>
        <v>168.9243986397245</v>
      </c>
      <c r="M24">
        <f t="shared" si="9"/>
        <v>444.43067606820938</v>
      </c>
      <c r="N24">
        <f t="shared" si="10"/>
        <v>316.30156103401691</v>
      </c>
      <c r="O24">
        <f t="shared" si="11"/>
        <v>176.58333147733507</v>
      </c>
      <c r="P24">
        <f t="shared" si="12"/>
        <v>149.40973951901759</v>
      </c>
      <c r="R24" s="60">
        <v>25.271338365566336</v>
      </c>
      <c r="S24" s="60">
        <v>49.371659021891531</v>
      </c>
      <c r="T24" s="60">
        <v>2221.1471108833857</v>
      </c>
      <c r="U24" s="60">
        <v>15.079261771914025</v>
      </c>
      <c r="V24" s="60">
        <v>462.66891528669743</v>
      </c>
      <c r="W24" s="60">
        <v>5425.0500160606989</v>
      </c>
      <c r="X24" s="60">
        <v>73.425533742779166</v>
      </c>
      <c r="Y24" s="60">
        <v>75171.357394677398</v>
      </c>
      <c r="Z24" s="60">
        <v>25.776979211956146</v>
      </c>
      <c r="AA24" s="60">
        <v>64.999970792490473</v>
      </c>
      <c r="AB24" s="60">
        <v>277.23583041941606</v>
      </c>
      <c r="AC24" s="60">
        <v>25.399655718232992</v>
      </c>
    </row>
    <row r="25" spans="1:29" x14ac:dyDescent="0.35">
      <c r="A25" s="37" t="s">
        <v>118</v>
      </c>
      <c r="B25" s="69" t="s">
        <v>149</v>
      </c>
      <c r="C25" s="76" t="s">
        <v>158</v>
      </c>
      <c r="D25" s="31">
        <v>30</v>
      </c>
      <c r="E25">
        <f t="shared" si="1"/>
        <v>1067.8215471452706</v>
      </c>
      <c r="F25">
        <f t="shared" si="2"/>
        <v>5594.1431245821877</v>
      </c>
      <c r="G25">
        <f t="shared" si="3"/>
        <v>10624.9549892305</v>
      </c>
      <c r="H25">
        <f t="shared" si="4"/>
        <v>843.05439635484481</v>
      </c>
      <c r="I25">
        <f t="shared" si="5"/>
        <v>791.96321059812726</v>
      </c>
      <c r="J25">
        <f t="shared" si="6"/>
        <v>1015.8517986963653</v>
      </c>
      <c r="K25">
        <f t="shared" si="7"/>
        <v>595.6927095071012</v>
      </c>
      <c r="L25">
        <f t="shared" si="8"/>
        <v>129.55517101337131</v>
      </c>
      <c r="M25">
        <f t="shared" si="9"/>
        <v>422.83019505814678</v>
      </c>
      <c r="N25">
        <f t="shared" si="10"/>
        <v>306.68502256120382</v>
      </c>
      <c r="O25">
        <f t="shared" si="11"/>
        <v>188.07138195409115</v>
      </c>
      <c r="P25">
        <f t="shared" si="12"/>
        <v>174.41952607391329</v>
      </c>
      <c r="R25" s="60">
        <v>30.966824867212853</v>
      </c>
      <c r="S25" s="60">
        <v>44.753144996657504</v>
      </c>
      <c r="T25" s="60">
        <v>2613.7389273507029</v>
      </c>
      <c r="U25" s="60">
        <v>11.802761548967828</v>
      </c>
      <c r="V25" s="60">
        <v>484.68148488605391</v>
      </c>
      <c r="W25" s="60">
        <v>3931.3464609549342</v>
      </c>
      <c r="X25" s="60">
        <v>63.500842833456986</v>
      </c>
      <c r="Y25" s="60">
        <v>57652.05110095023</v>
      </c>
      <c r="Z25" s="60">
        <v>24.524151313372514</v>
      </c>
      <c r="AA25" s="60">
        <v>63.023772136327381</v>
      </c>
      <c r="AB25" s="60">
        <v>295.27206966792312</v>
      </c>
      <c r="AC25" s="60">
        <v>29.651319432565263</v>
      </c>
    </row>
    <row r="26" spans="1:29" x14ac:dyDescent="0.35">
      <c r="A26" s="37" t="s">
        <v>118</v>
      </c>
      <c r="B26" s="69" t="s">
        <v>149</v>
      </c>
      <c r="C26" s="18">
        <v>32</v>
      </c>
      <c r="D26" s="18">
        <v>29.78</v>
      </c>
      <c r="E26">
        <f t="shared" si="1"/>
        <v>1656.9546120127279</v>
      </c>
      <c r="F26">
        <f t="shared" si="2"/>
        <v>6445.7730096229352</v>
      </c>
      <c r="G26">
        <f t="shared" si="3"/>
        <v>12258.685120340617</v>
      </c>
      <c r="H26">
        <f t="shared" si="4"/>
        <v>2403.1840258668776</v>
      </c>
      <c r="I26">
        <f t="shared" si="5"/>
        <v>926.25048026004265</v>
      </c>
      <c r="J26">
        <f t="shared" si="6"/>
        <v>502.34037955957012</v>
      </c>
      <c r="K26">
        <f t="shared" si="7"/>
        <v>315.56276406502434</v>
      </c>
      <c r="L26">
        <f t="shared" si="8"/>
        <v>210.01239673638611</v>
      </c>
      <c r="M26">
        <f t="shared" si="9"/>
        <v>524.54599191817556</v>
      </c>
      <c r="N26">
        <f t="shared" si="10"/>
        <v>317.58470756633483</v>
      </c>
      <c r="O26">
        <f t="shared" si="11"/>
        <v>130.40858327649514</v>
      </c>
      <c r="P26">
        <f t="shared" si="12"/>
        <v>102.02767870814493</v>
      </c>
      <c r="R26" s="60">
        <v>48.051683748369115</v>
      </c>
      <c r="S26" s="60">
        <v>51.566184076983482</v>
      </c>
      <c r="T26" s="60">
        <v>3015.6365396037918</v>
      </c>
      <c r="U26" s="60">
        <v>33.644576362136284</v>
      </c>
      <c r="V26" s="60">
        <v>566.8652939191461</v>
      </c>
      <c r="W26" s="60">
        <v>1944.0572688955365</v>
      </c>
      <c r="X26" s="60">
        <v>33.638990649331596</v>
      </c>
      <c r="Y26" s="60">
        <v>93455.516547691819</v>
      </c>
      <c r="Z26" s="60">
        <v>30.423667531254182</v>
      </c>
      <c r="AA26" s="60">
        <v>65.263657404881798</v>
      </c>
      <c r="AB26" s="60">
        <v>204.74147574409736</v>
      </c>
      <c r="AC26" s="60">
        <v>17.344705380384639</v>
      </c>
    </row>
    <row r="27" spans="1:29" x14ac:dyDescent="0.35">
      <c r="A27" s="37" t="s">
        <v>118</v>
      </c>
      <c r="B27" s="69" t="s">
        <v>149</v>
      </c>
      <c r="C27" s="18">
        <v>33</v>
      </c>
      <c r="D27" s="18">
        <v>30.07</v>
      </c>
      <c r="E27">
        <f t="shared" si="1"/>
        <v>2325.6726029823967</v>
      </c>
      <c r="F27">
        <f t="shared" si="2"/>
        <v>8748.4604301143554</v>
      </c>
      <c r="G27">
        <f t="shared" si="3"/>
        <v>28742.139504298815</v>
      </c>
      <c r="H27">
        <f t="shared" si="4"/>
        <v>3215.8863951921899</v>
      </c>
      <c r="I27">
        <f t="shared" si="5"/>
        <v>1283.6677676011973</v>
      </c>
      <c r="J27">
        <f t="shared" si="6"/>
        <v>506.0324703760312</v>
      </c>
      <c r="K27">
        <f t="shared" si="7"/>
        <v>351.11041984189359</v>
      </c>
      <c r="L27">
        <f t="shared" si="8"/>
        <v>271.85526040885151</v>
      </c>
      <c r="M27">
        <f t="shared" si="9"/>
        <v>558.8637205370843</v>
      </c>
      <c r="N27">
        <f t="shared" si="10"/>
        <v>335.68033467192754</v>
      </c>
      <c r="O27">
        <f t="shared" si="11"/>
        <v>213.61050466505043</v>
      </c>
      <c r="P27">
        <f t="shared" si="12"/>
        <v>213.14980123406781</v>
      </c>
      <c r="R27" s="60">
        <v>67.444505486489504</v>
      </c>
      <c r="S27" s="60">
        <v>69.98768344091485</v>
      </c>
      <c r="T27" s="60">
        <v>7070.5663180575084</v>
      </c>
      <c r="U27" s="60">
        <v>45.022409532690659</v>
      </c>
      <c r="V27" s="60">
        <v>785.60467377193277</v>
      </c>
      <c r="W27" s="60">
        <v>1958.3456603552409</v>
      </c>
      <c r="X27" s="60">
        <v>37.428370755145856</v>
      </c>
      <c r="Y27" s="60">
        <v>120975.59088193893</v>
      </c>
      <c r="Z27" s="60">
        <v>32.414095791150892</v>
      </c>
      <c r="AA27" s="60">
        <v>68.982308775081108</v>
      </c>
      <c r="AB27" s="60">
        <v>335.36849232412919</v>
      </c>
      <c r="AC27" s="60">
        <v>36.235466209791532</v>
      </c>
    </row>
    <row r="28" spans="1:29" x14ac:dyDescent="0.35">
      <c r="A28" s="37" t="s">
        <v>120</v>
      </c>
      <c r="B28" s="69" t="s">
        <v>149</v>
      </c>
      <c r="C28" s="29">
        <v>15</v>
      </c>
      <c r="D28" s="29">
        <v>28.21</v>
      </c>
      <c r="E28">
        <f t="shared" si="1"/>
        <v>684.72754996553954</v>
      </c>
      <c r="F28">
        <f t="shared" si="2"/>
        <v>972.52382167667747</v>
      </c>
      <c r="G28">
        <f t="shared" si="3"/>
        <v>2306.3989591726254</v>
      </c>
      <c r="H28">
        <f t="shared" si="4"/>
        <v>1326.0101191503054</v>
      </c>
      <c r="I28">
        <f t="shared" si="5"/>
        <v>689.96421936173533</v>
      </c>
      <c r="J28">
        <f t="shared" si="6"/>
        <v>328.77403481689277</v>
      </c>
      <c r="K28">
        <f t="shared" si="7"/>
        <v>295.81603611174904</v>
      </c>
      <c r="L28">
        <f t="shared" si="8"/>
        <v>169.72873760042833</v>
      </c>
      <c r="M28">
        <f t="shared" si="9"/>
        <v>323.88791180866895</v>
      </c>
      <c r="N28">
        <f t="shared" si="10"/>
        <v>214.12854609234657</v>
      </c>
      <c r="O28">
        <f t="shared" si="11"/>
        <v>71.579482312161545</v>
      </c>
      <c r="P28">
        <f t="shared" si="12"/>
        <v>43.878012269943355</v>
      </c>
      <c r="R28" s="60">
        <v>19.857098949000648</v>
      </c>
      <c r="S28" s="60">
        <v>7.78019057341342</v>
      </c>
      <c r="T28" s="60">
        <v>567.37414395646579</v>
      </c>
      <c r="U28" s="60">
        <v>18.564141668104277</v>
      </c>
      <c r="V28" s="60">
        <v>422.25810224938203</v>
      </c>
      <c r="W28" s="60">
        <v>1272.3555147413751</v>
      </c>
      <c r="X28" s="60">
        <v>31.533989449512447</v>
      </c>
      <c r="Y28" s="60">
        <v>75529.288232190607</v>
      </c>
      <c r="Z28" s="60">
        <v>18.7854988849028</v>
      </c>
      <c r="AA28" s="60">
        <v>44.003416221977218</v>
      </c>
      <c r="AB28" s="60">
        <v>112.37978723009364</v>
      </c>
      <c r="AC28" s="60">
        <v>7.4592620858903711</v>
      </c>
    </row>
    <row r="29" spans="1:29" x14ac:dyDescent="0.35">
      <c r="A29" s="37" t="s">
        <v>122</v>
      </c>
      <c r="B29" s="69" t="s">
        <v>149</v>
      </c>
      <c r="C29" s="29">
        <v>25</v>
      </c>
      <c r="D29" s="29">
        <v>30.02</v>
      </c>
      <c r="E29">
        <f t="shared" si="1"/>
        <v>138.26314259720422</v>
      </c>
      <c r="F29">
        <f t="shared" si="2"/>
        <v>562.72534758783877</v>
      </c>
      <c r="G29">
        <f t="shared" si="3"/>
        <v>1407.0964653293729</v>
      </c>
      <c r="H29">
        <f t="shared" si="4"/>
        <v>570.40850836534185</v>
      </c>
      <c r="I29">
        <f t="shared" si="5"/>
        <v>461.03101636420058</v>
      </c>
      <c r="J29">
        <f t="shared" si="6"/>
        <v>1212.4695683871309</v>
      </c>
      <c r="K29">
        <f t="shared" si="7"/>
        <v>694.05307712310992</v>
      </c>
      <c r="L29">
        <f t="shared" si="8"/>
        <v>71.681929897538723</v>
      </c>
      <c r="M29">
        <f t="shared" si="9"/>
        <v>441.29790408727376</v>
      </c>
      <c r="N29">
        <f t="shared" si="10"/>
        <v>400.1677976262838</v>
      </c>
      <c r="O29">
        <f t="shared" si="11"/>
        <v>190.44886840146646</v>
      </c>
      <c r="P29">
        <f t="shared" si="12"/>
        <v>129.10999232530651</v>
      </c>
      <c r="R29" s="60">
        <v>4.0096311353189229</v>
      </c>
      <c r="S29" s="60">
        <v>4.5018027807027101</v>
      </c>
      <c r="T29" s="60">
        <v>346.14573047102573</v>
      </c>
      <c r="U29" s="60">
        <v>7.9857191171147859</v>
      </c>
      <c r="V29" s="60">
        <v>282.15098201489076</v>
      </c>
      <c r="W29" s="60">
        <v>4692.2572296581966</v>
      </c>
      <c r="X29" s="60">
        <v>73.986058021323515</v>
      </c>
      <c r="Y29" s="60">
        <v>31898.458804404734</v>
      </c>
      <c r="Z29" s="60">
        <v>25.595278437061879</v>
      </c>
      <c r="AA29" s="60">
        <v>82.234482412201316</v>
      </c>
      <c r="AB29" s="60">
        <v>299.00472339030233</v>
      </c>
      <c r="AC29" s="60">
        <v>21.948698695302109</v>
      </c>
    </row>
    <row r="30" spans="1:29" x14ac:dyDescent="0.35">
      <c r="A30" s="37" t="s">
        <v>117</v>
      </c>
      <c r="B30" s="69" t="s">
        <v>149</v>
      </c>
      <c r="C30" s="58">
        <v>20</v>
      </c>
      <c r="D30" s="58">
        <v>30.33</v>
      </c>
      <c r="E30">
        <f>R30/E$2</f>
        <v>477.79935530446068</v>
      </c>
      <c r="F30">
        <f t="shared" si="2"/>
        <v>268.82601984362736</v>
      </c>
      <c r="G30">
        <f t="shared" si="3"/>
        <v>1093.8187427963016</v>
      </c>
      <c r="H30">
        <f t="shared" si="4"/>
        <v>648.82642778393335</v>
      </c>
      <c r="I30">
        <f t="shared" si="5"/>
        <v>381.74081557491957</v>
      </c>
      <c r="J30">
        <f t="shared" si="6"/>
        <v>273.61478957319355</v>
      </c>
      <c r="K30">
        <f t="shared" si="7"/>
        <v>269.43296610031211</v>
      </c>
      <c r="L30">
        <f t="shared" si="8"/>
        <v>99.35133328936341</v>
      </c>
      <c r="M30">
        <f t="shared" si="9"/>
        <v>196.15727715488859</v>
      </c>
      <c r="N30">
        <f t="shared" si="10"/>
        <v>162.77301393177515</v>
      </c>
      <c r="O30">
        <f t="shared" si="11"/>
        <v>43.539366187770092</v>
      </c>
      <c r="P30">
        <f t="shared" si="12"/>
        <v>34.944440588721768</v>
      </c>
      <c r="R30" s="60">
        <v>13.856181303829361</v>
      </c>
      <c r="S30" s="60">
        <v>2.1506081587490189</v>
      </c>
      <c r="T30" s="60">
        <v>269.07941072789021</v>
      </c>
      <c r="U30" s="60">
        <v>9.0835699889750678</v>
      </c>
      <c r="V30" s="60">
        <v>233.62537913185076</v>
      </c>
      <c r="W30" s="60">
        <v>1058.889235648259</v>
      </c>
      <c r="X30" s="60">
        <v>28.721554186293272</v>
      </c>
      <c r="Y30" s="60">
        <v>44211.343313766716</v>
      </c>
      <c r="Z30" s="60">
        <v>11.377122074983539</v>
      </c>
      <c r="AA30" s="60">
        <v>33.449854362979792</v>
      </c>
      <c r="AB30" s="60">
        <v>68.356804914799042</v>
      </c>
      <c r="AC30" s="60">
        <v>5.9405549000827005</v>
      </c>
    </row>
    <row r="31" spans="1:29" x14ac:dyDescent="0.35">
      <c r="J31"/>
      <c r="K31"/>
    </row>
    <row r="32" spans="1:29" x14ac:dyDescent="0.35">
      <c r="A32" t="s">
        <v>167</v>
      </c>
      <c r="B32" t="s">
        <v>168</v>
      </c>
      <c r="E32">
        <f t="shared" ref="E32:E33" si="13">R32/E$2</f>
        <v>53.549799361088496</v>
      </c>
      <c r="F32">
        <f t="shared" ref="F32:F33" si="14">S32/F$2</f>
        <v>586.79788289932662</v>
      </c>
      <c r="G32">
        <f t="shared" ref="G32:G33" si="15">T32/G$2</f>
        <v>665.49327698641878</v>
      </c>
      <c r="H32">
        <f t="shared" ref="H32:H33" si="16">U32/H$2</f>
        <v>192.66591640301777</v>
      </c>
      <c r="I32">
        <f t="shared" ref="I32:I33" si="17">V32/I$2</f>
        <v>337.13747864828304</v>
      </c>
      <c r="J32">
        <f t="shared" ref="J32:J33" si="18">W32/J$2</f>
        <v>1180.277378845705</v>
      </c>
      <c r="K32">
        <f t="shared" ref="K32:K33" si="19">X32/K$2</f>
        <v>1158.5885341303758</v>
      </c>
      <c r="L32">
        <f t="shared" ref="L32:L33" si="20">Y32/L$2</f>
        <v>33.536265512363279</v>
      </c>
      <c r="M32">
        <f t="shared" ref="M32:M33" si="21">Z32/M$2</f>
        <v>158.67825023090597</v>
      </c>
      <c r="N32">
        <f t="shared" ref="N32:N33" si="22">AA32/N$2</f>
        <v>173.43941409351513</v>
      </c>
      <c r="O32">
        <f t="shared" ref="O32:O33" si="23">AB32/O$2</f>
        <v>144.29807213361588</v>
      </c>
      <c r="P32">
        <f t="shared" ref="P32:P33" si="24">AC32/P$2</f>
        <v>100.16534388883322</v>
      </c>
      <c r="Q32" s="77">
        <v>2.4900000000000002</v>
      </c>
      <c r="R32" s="78">
        <v>1.5529441814715665</v>
      </c>
      <c r="S32" s="78">
        <v>4.6943830631946133</v>
      </c>
      <c r="T32" s="78">
        <v>163.71134613865902</v>
      </c>
      <c r="U32" s="78">
        <v>2.6973228296422489</v>
      </c>
      <c r="V32" s="78">
        <v>206.32813693274923</v>
      </c>
      <c r="W32" s="78">
        <v>4567.6734561328785</v>
      </c>
      <c r="X32" s="78">
        <v>123.50553773829806</v>
      </c>
      <c r="Y32" s="79">
        <f>Q32*Q$1</f>
        <v>14923.638153001661</v>
      </c>
      <c r="Z32" s="78">
        <v>9.2033385133925467</v>
      </c>
      <c r="AA32" s="78">
        <v>35.641799596217353</v>
      </c>
      <c r="AB32" s="78">
        <v>226.54797324977693</v>
      </c>
      <c r="AC32" s="78">
        <v>17.028108461101649</v>
      </c>
    </row>
    <row r="33" spans="1:29" x14ac:dyDescent="0.35">
      <c r="A33" s="77" t="s">
        <v>165</v>
      </c>
      <c r="B33" t="s">
        <v>166</v>
      </c>
      <c r="E33">
        <f t="shared" si="13"/>
        <v>1500.21343109596</v>
      </c>
      <c r="F33">
        <f t="shared" si="14"/>
        <v>2478.6651211747189</v>
      </c>
      <c r="G33">
        <f t="shared" si="15"/>
        <v>1356.7858592905557</v>
      </c>
      <c r="H33">
        <f t="shared" si="16"/>
        <v>39.758523745151066</v>
      </c>
      <c r="I33">
        <f t="shared" si="17"/>
        <v>236.86402043504864</v>
      </c>
      <c r="J33">
        <f t="shared" si="18"/>
        <v>9.0528219426530967</v>
      </c>
      <c r="K33">
        <f t="shared" si="19"/>
        <v>2.6141018914416438</v>
      </c>
      <c r="L33">
        <f t="shared" si="20"/>
        <v>0.67341898619203377</v>
      </c>
      <c r="M33">
        <f t="shared" si="21"/>
        <v>172.8547450176851</v>
      </c>
      <c r="N33">
        <f t="shared" si="22"/>
        <v>113.53007871012016</v>
      </c>
      <c r="O33">
        <f t="shared" si="23"/>
        <v>36.252159112378287</v>
      </c>
      <c r="P33">
        <f t="shared" si="24"/>
        <v>19.931530204652681</v>
      </c>
      <c r="Q33" s="77">
        <v>0.05</v>
      </c>
      <c r="R33" s="78">
        <v>43.506189501782842</v>
      </c>
      <c r="S33" s="78">
        <v>19.829320969397752</v>
      </c>
      <c r="T33" s="78">
        <v>333.7693213854767</v>
      </c>
      <c r="U33" s="78">
        <v>0.55661933243211492</v>
      </c>
      <c r="V33" s="78">
        <v>144.96078050624976</v>
      </c>
      <c r="W33" s="78">
        <v>35.034420918067482</v>
      </c>
      <c r="X33" s="78">
        <v>0.27866326162767924</v>
      </c>
      <c r="Y33" s="79">
        <f t="shared" ref="Y33:Y36" si="25">Q33*Q$1</f>
        <v>299.67144885545503</v>
      </c>
      <c r="Z33" s="78">
        <v>10.025575211025737</v>
      </c>
      <c r="AA33" s="78">
        <v>23.330431174929693</v>
      </c>
      <c r="AB33" s="78">
        <v>56.91588980643391</v>
      </c>
      <c r="AC33" s="78">
        <v>3.3883601347909562</v>
      </c>
    </row>
    <row r="34" spans="1:29" x14ac:dyDescent="0.35">
      <c r="A34" s="77" t="s">
        <v>170</v>
      </c>
      <c r="B34" t="s">
        <v>166</v>
      </c>
      <c r="E34">
        <f t="shared" ref="E34:E35" si="26">R34/E$2</f>
        <v>4415.9670005129919</v>
      </c>
      <c r="F34">
        <f t="shared" ref="F34:F35" si="27">S34/F$2</f>
        <v>860.47037773128773</v>
      </c>
      <c r="G34">
        <f t="shared" ref="G34:G35" si="28">T34/G$2</f>
        <v>1287.8058223840869</v>
      </c>
      <c r="H34">
        <f t="shared" ref="H34:H35" si="29">U34/H$2</f>
        <v>225.58592259414232</v>
      </c>
      <c r="I34">
        <f t="shared" ref="I34:I35" si="30">V34/I$2</f>
        <v>288.47561272610704</v>
      </c>
      <c r="J34">
        <f t="shared" ref="J34:J35" si="31">W34/J$2</f>
        <v>22.768797368449501</v>
      </c>
      <c r="K34">
        <f t="shared" ref="K34:K35" si="32">X34/K$2</f>
        <v>11.949885432230568</v>
      </c>
      <c r="L34">
        <f t="shared" ref="L34:L35" si="33">Y34/L$2</f>
        <v>2.1549407558145082</v>
      </c>
      <c r="M34">
        <f t="shared" ref="M34:M35" si="34">Z34/M$2</f>
        <v>228.05113497178661</v>
      </c>
      <c r="N34">
        <f t="shared" ref="N34:N35" si="35">AA34/N$2</f>
        <v>148.52865897221966</v>
      </c>
      <c r="O34">
        <f t="shared" ref="O34:O35" si="36">AB34/O$2</f>
        <v>22.34981396595273</v>
      </c>
      <c r="P34">
        <f t="shared" ref="P34:P35" si="37">AC34/P$2</f>
        <v>20.99846582984658</v>
      </c>
      <c r="Q34" s="77">
        <v>0.16</v>
      </c>
      <c r="R34" s="78">
        <v>128.06304301487677</v>
      </c>
      <c r="S34" s="78">
        <v>6.8837630218503021</v>
      </c>
      <c r="T34" s="78">
        <v>316.80023230648538</v>
      </c>
      <c r="U34" s="78">
        <v>3.1582029163179923</v>
      </c>
      <c r="V34" s="78">
        <v>176.54707498837752</v>
      </c>
      <c r="W34" s="78">
        <v>88.11524581589957</v>
      </c>
      <c r="X34" s="78">
        <v>1.2738577870757786</v>
      </c>
      <c r="Y34" s="79">
        <f t="shared" si="25"/>
        <v>958.94863633745604</v>
      </c>
      <c r="Z34" s="78">
        <v>13.226965828363625</v>
      </c>
      <c r="AA34" s="78">
        <v>30.52263941879114</v>
      </c>
      <c r="AB34" s="78">
        <v>35.089207926545789</v>
      </c>
      <c r="AC34" s="78">
        <v>3.5697391910739187</v>
      </c>
    </row>
    <row r="35" spans="1:29" x14ac:dyDescent="0.35">
      <c r="A35" s="77" t="s">
        <v>171</v>
      </c>
      <c r="B35" t="s">
        <v>166</v>
      </c>
      <c r="E35">
        <f t="shared" si="26"/>
        <v>72.692076353309147</v>
      </c>
      <c r="F35">
        <f t="shared" si="27"/>
        <v>211.84420005564834</v>
      </c>
      <c r="G35">
        <f t="shared" si="28"/>
        <v>323.80350632660128</v>
      </c>
      <c r="H35">
        <f t="shared" si="29"/>
        <v>278.44249666110187</v>
      </c>
      <c r="I35">
        <f t="shared" si="30"/>
        <v>38.254161892915207</v>
      </c>
      <c r="J35">
        <f t="shared" si="31"/>
        <v>28.005242911312138</v>
      </c>
      <c r="K35">
        <f t="shared" si="32"/>
        <v>19.293259768991685</v>
      </c>
      <c r="L35">
        <f t="shared" si="33"/>
        <v>13.872431115555894</v>
      </c>
      <c r="M35">
        <f t="shared" si="34"/>
        <v>36.546375530200777</v>
      </c>
      <c r="N35">
        <f t="shared" si="35"/>
        <v>30.275982100468077</v>
      </c>
      <c r="O35">
        <f t="shared" si="36"/>
        <v>14.162591846283082</v>
      </c>
      <c r="P35">
        <f t="shared" si="37"/>
        <v>9.33655111460277</v>
      </c>
      <c r="Q35" s="77">
        <v>1.03</v>
      </c>
      <c r="R35" s="78">
        <v>2.1080702142459655</v>
      </c>
      <c r="S35" s="78">
        <v>1.6947536004451869</v>
      </c>
      <c r="T35" s="78">
        <v>79.655662556343913</v>
      </c>
      <c r="U35" s="78">
        <v>3.8981949532554263</v>
      </c>
      <c r="V35" s="78">
        <v>23.411547078464107</v>
      </c>
      <c r="W35" s="78">
        <v>108.38029006677797</v>
      </c>
      <c r="X35" s="78">
        <v>2.0566614913745136</v>
      </c>
      <c r="Y35" s="79">
        <f t="shared" si="25"/>
        <v>6173.2318464223727</v>
      </c>
      <c r="Z35" s="78">
        <v>2.1196897807516453</v>
      </c>
      <c r="AA35" s="78">
        <v>6.2217143216461892</v>
      </c>
      <c r="AB35" s="78">
        <v>22.23526919866444</v>
      </c>
      <c r="AC35" s="78">
        <v>1.5872136894824711</v>
      </c>
    </row>
    <row r="36" spans="1:29" x14ac:dyDescent="0.35">
      <c r="A36" s="83" t="s">
        <v>172</v>
      </c>
      <c r="B36" s="83" t="s">
        <v>173</v>
      </c>
      <c r="E36">
        <f t="shared" ref="E36" si="38">R36/E$2</f>
        <v>810.10002321430238</v>
      </c>
      <c r="F36">
        <f t="shared" ref="F36" si="39">S36/F$2</f>
        <v>820.32282992367004</v>
      </c>
      <c r="G36">
        <f t="shared" ref="G36" si="40">T36/G$2</f>
        <v>1188.5503229570375</v>
      </c>
      <c r="H36">
        <f t="shared" ref="H36" si="41">U36/H$2</f>
        <v>1112.9189391491341</v>
      </c>
      <c r="I36">
        <f t="shared" ref="I36" si="42">V36/I$2</f>
        <v>795.87223050263412</v>
      </c>
      <c r="J36">
        <f t="shared" ref="J36" si="43">W36/J$2</f>
        <v>78.895728602275327</v>
      </c>
      <c r="K36">
        <f t="shared" ref="K36" si="44">X36/K$2</f>
        <v>52.493017474233618</v>
      </c>
      <c r="L36">
        <f>Y36/L$2</f>
        <v>31.516008553787174</v>
      </c>
      <c r="M36">
        <f t="shared" ref="M36" si="45">Z36/M$2</f>
        <v>101.36095483450947</v>
      </c>
      <c r="N36">
        <f t="shared" ref="N36" si="46">AA36/N$2</f>
        <v>71.925324512743799</v>
      </c>
      <c r="O36">
        <f t="shared" ref="O36" si="47">AB36/O$2</f>
        <v>21.960755401080892</v>
      </c>
      <c r="P36">
        <f t="shared" ref="P36" si="48">AC36/P$2</f>
        <v>12.378748635336965</v>
      </c>
      <c r="Q36" s="82">
        <v>2.34</v>
      </c>
      <c r="R36" s="81">
        <v>23.49290067321477</v>
      </c>
      <c r="S36" s="81">
        <v>6.5625826393893609</v>
      </c>
      <c r="T36" s="80">
        <v>292.3833794474312</v>
      </c>
      <c r="U36" s="81">
        <v>15.580865148087877</v>
      </c>
      <c r="V36" s="80">
        <v>487.07380506761206</v>
      </c>
      <c r="W36" s="80">
        <v>305.32646969080554</v>
      </c>
      <c r="X36" s="81">
        <v>5.5957556627533034</v>
      </c>
      <c r="Y36" s="79">
        <f t="shared" si="25"/>
        <v>14024.623806435293</v>
      </c>
      <c r="Z36" s="81">
        <v>5.8789353804015496</v>
      </c>
      <c r="AA36" s="81">
        <v>14.78065418736885</v>
      </c>
      <c r="AB36" s="81">
        <v>34.478385979697002</v>
      </c>
      <c r="AC36" s="81">
        <v>2.1043872680072844</v>
      </c>
    </row>
    <row r="37" spans="1:29" x14ac:dyDescent="0.35">
      <c r="B37" t="s">
        <v>169</v>
      </c>
      <c r="G37">
        <f>G3/T37</f>
        <v>96051.242323724859</v>
      </c>
      <c r="H37">
        <f>H3/U37</f>
        <v>48745.423117652528</v>
      </c>
      <c r="I37">
        <f>I3/V37</f>
        <v>20886.874101495298</v>
      </c>
      <c r="J37">
        <f>J3/W37</f>
        <v>4106.4541253210864</v>
      </c>
      <c r="K37"/>
      <c r="L37">
        <f>L3/Y37</f>
        <v>205.73709672819442</v>
      </c>
      <c r="O37">
        <f>O3/AB37</f>
        <v>553.81249008819066</v>
      </c>
      <c r="P37">
        <f>P3/AC37</f>
        <v>62.535022677408691</v>
      </c>
      <c r="Q37" t="s">
        <v>175</v>
      </c>
      <c r="T37" s="54">
        <v>1.2E-2</v>
      </c>
      <c r="U37" s="54">
        <v>9.5000000000000001E-2</v>
      </c>
      <c r="V37" s="54">
        <v>1.7000000000000001E-2</v>
      </c>
      <c r="W37" s="54">
        <v>3.98</v>
      </c>
      <c r="Y37">
        <v>1.7</v>
      </c>
      <c r="AB37" s="54">
        <v>3.06</v>
      </c>
      <c r="AC37" s="54">
        <v>30</v>
      </c>
    </row>
    <row r="38" spans="1:29" x14ac:dyDescent="0.35">
      <c r="B38" t="s">
        <v>174</v>
      </c>
      <c r="G38">
        <f>G36*T37</f>
        <v>14.26260387548445</v>
      </c>
      <c r="H38">
        <f t="shared" ref="H38:P38" si="49">H36*U37</f>
        <v>105.72729921916773</v>
      </c>
      <c r="I38">
        <f t="shared" si="49"/>
        <v>13.529827918544781</v>
      </c>
      <c r="J38">
        <f t="shared" si="49"/>
        <v>314.00499983705578</v>
      </c>
      <c r="K38"/>
      <c r="L38">
        <f t="shared" si="49"/>
        <v>53.577214541438195</v>
      </c>
      <c r="O38">
        <f t="shared" si="49"/>
        <v>67.199911527307535</v>
      </c>
      <c r="P38">
        <f t="shared" si="49"/>
        <v>371.36245906010896</v>
      </c>
    </row>
    <row r="39" spans="1:29" x14ac:dyDescent="0.35">
      <c r="B39" t="s">
        <v>180</v>
      </c>
      <c r="G39">
        <f>G33*T37</f>
        <v>16.28143031148667</v>
      </c>
      <c r="H39">
        <f t="shared" ref="H39:P39" si="50">H33*U37</f>
        <v>3.7770597557893515</v>
      </c>
      <c r="I39">
        <f t="shared" si="50"/>
        <v>4.0266883473958268</v>
      </c>
      <c r="J39">
        <f t="shared" si="50"/>
        <v>36.030231331759325</v>
      </c>
      <c r="K39">
        <f t="shared" si="50"/>
        <v>0</v>
      </c>
      <c r="L39">
        <f t="shared" si="50"/>
        <v>1.1448122765264575</v>
      </c>
      <c r="M39">
        <f t="shared" si="50"/>
        <v>0</v>
      </c>
      <c r="N39">
        <f t="shared" si="50"/>
        <v>0</v>
      </c>
      <c r="O39">
        <f t="shared" si="50"/>
        <v>110.93160688387756</v>
      </c>
      <c r="P39">
        <f t="shared" si="50"/>
        <v>597.94590613958042</v>
      </c>
    </row>
    <row r="40" spans="1:29" x14ac:dyDescent="0.35">
      <c r="B40" t="s">
        <v>177</v>
      </c>
      <c r="G40">
        <f>G24/T40</f>
        <v>45145.266481369625</v>
      </c>
      <c r="H40">
        <f t="shared" ref="H40:P40" si="51">H24/U40</f>
        <v>17657.215189594877</v>
      </c>
      <c r="I40">
        <f t="shared" si="51"/>
        <v>99473.021002471927</v>
      </c>
      <c r="J40">
        <f t="shared" si="51"/>
        <v>4380.6928424262751</v>
      </c>
      <c r="K40">
        <f t="shared" si="51"/>
        <v>313.08857983446683</v>
      </c>
      <c r="L40" t="e">
        <f t="shared" si="51"/>
        <v>#DIV/0!</v>
      </c>
      <c r="M40">
        <f t="shared" si="51"/>
        <v>584.77720535290712</v>
      </c>
      <c r="N40">
        <f t="shared" si="51"/>
        <v>287.54687366728808</v>
      </c>
      <c r="O40">
        <f t="shared" si="51"/>
        <v>29.430555246222511</v>
      </c>
      <c r="P40">
        <f t="shared" si="51"/>
        <v>23.345271799846497</v>
      </c>
      <c r="Q40" t="s">
        <v>176</v>
      </c>
      <c r="T40" s="54">
        <v>0.2</v>
      </c>
      <c r="U40" s="54">
        <v>6.0999999999999999E-2</v>
      </c>
      <c r="V40" s="54">
        <v>7.6E-3</v>
      </c>
      <c r="W40" s="54">
        <v>0.32</v>
      </c>
      <c r="X40" s="54">
        <v>2.2000000000000002</v>
      </c>
      <c r="Z40" s="54">
        <v>0.76</v>
      </c>
      <c r="AA40" s="54">
        <v>1.1000000000000001</v>
      </c>
      <c r="AB40" s="54">
        <v>6</v>
      </c>
      <c r="AC40" s="54">
        <v>6.4</v>
      </c>
    </row>
    <row r="43" spans="1:29" x14ac:dyDescent="0.35">
      <c r="A43" s="37" t="s">
        <v>121</v>
      </c>
      <c r="B43" s="69" t="s">
        <v>178</v>
      </c>
      <c r="C43" s="62">
        <v>1</v>
      </c>
      <c r="D43" s="31">
        <v>33.299999999999997</v>
      </c>
      <c r="E43">
        <f>R43/E$2</f>
        <v>204.99578645505039</v>
      </c>
      <c r="F43">
        <f t="shared" ref="F43:O43" si="52">S43/F$2</f>
        <v>1066.7260277633429</v>
      </c>
      <c r="G43">
        <f t="shared" si="52"/>
        <v>12792.655344079198</v>
      </c>
      <c r="H43">
        <f t="shared" si="52"/>
        <v>1542.2211695331496</v>
      </c>
      <c r="I43">
        <f t="shared" si="52"/>
        <v>506.39014902031596</v>
      </c>
      <c r="J43">
        <f t="shared" si="52"/>
        <v>1207.726789398529</v>
      </c>
      <c r="K43">
        <f t="shared" si="52"/>
        <v>801.46923154521733</v>
      </c>
      <c r="L43">
        <f t="shared" si="52"/>
        <v>208.57451168100485</v>
      </c>
      <c r="M43">
        <f t="shared" si="52"/>
        <v>298.69229744491463</v>
      </c>
      <c r="N43">
        <f t="shared" si="52"/>
        <v>215.50381286470881</v>
      </c>
      <c r="O43">
        <f t="shared" si="52"/>
        <v>215.32784836327474</v>
      </c>
      <c r="P43">
        <f>AC43/P$2</f>
        <v>224.9649823183247</v>
      </c>
      <c r="R43" s="60">
        <v>5.9448778071964616</v>
      </c>
      <c r="S43" s="60">
        <v>8.5338082221067442</v>
      </c>
      <c r="T43" s="60">
        <v>3146.9932146434826</v>
      </c>
      <c r="U43" s="60">
        <v>21.591096373464094</v>
      </c>
      <c r="V43" s="60">
        <v>309.91077120043337</v>
      </c>
      <c r="W43" s="60">
        <v>4673.9026749723071</v>
      </c>
      <c r="X43" s="60">
        <v>85.436620082720168</v>
      </c>
      <c r="Y43" s="60">
        <v>92815.657698047158</v>
      </c>
      <c r="Z43" s="60">
        <v>17.324153251805051</v>
      </c>
      <c r="AA43" s="60">
        <v>44.286033543697656</v>
      </c>
      <c r="AB43" s="60">
        <v>338.06472193034136</v>
      </c>
      <c r="AC43" s="60">
        <v>38.244046994115202</v>
      </c>
    </row>
    <row r="44" spans="1:29" x14ac:dyDescent="0.35">
      <c r="J44"/>
      <c r="K44"/>
    </row>
    <row r="45" spans="1:29" x14ac:dyDescent="0.35">
      <c r="A45" s="37" t="s">
        <v>121</v>
      </c>
      <c r="B45" s="69" t="s">
        <v>178</v>
      </c>
      <c r="C45" s="18">
        <v>14</v>
      </c>
      <c r="D45" s="18">
        <v>34.92</v>
      </c>
      <c r="E45">
        <f t="shared" ref="E45:E46" si="53">R45/E$2</f>
        <v>122.44607433018369</v>
      </c>
      <c r="F45">
        <f t="shared" ref="F45:F46" si="54">S45/F$2</f>
        <v>544.86414340770364</v>
      </c>
      <c r="G45">
        <f t="shared" ref="G45:G46" si="55">T45/G$2</f>
        <v>4365.8024152428634</v>
      </c>
      <c r="H45">
        <f t="shared" ref="H45:H46" si="56">U45/H$2</f>
        <v>425.75352287115362</v>
      </c>
      <c r="I45">
        <f t="shared" ref="I45:I46" si="57">V45/I$2</f>
        <v>286.35611792177184</v>
      </c>
      <c r="J45">
        <f t="shared" ref="J45:J46" si="58">W45/J$2</f>
        <v>569.26821307190153</v>
      </c>
      <c r="K45">
        <f t="shared" ref="K45:K46" si="59">X45/K$2</f>
        <v>388.77100928291452</v>
      </c>
      <c r="L45">
        <f t="shared" ref="L45:L46" si="60">Y45/L$2</f>
        <v>64.349655953905554</v>
      </c>
      <c r="M45">
        <f t="shared" ref="M45:M46" si="61">Z45/M$2</f>
        <v>177.5943658797371</v>
      </c>
      <c r="N45">
        <f t="shared" ref="N45:N46" si="62">AA45/N$2</f>
        <v>146.79156649797579</v>
      </c>
      <c r="O45">
        <f t="shared" ref="O45:O46" si="63">AB45/O$2</f>
        <v>130.70657454569044</v>
      </c>
      <c r="P45">
        <f t="shared" ref="P45:P46" si="64">AC45/P$2</f>
        <v>125.25152389290989</v>
      </c>
      <c r="R45" s="60">
        <v>3.5509361555753274</v>
      </c>
      <c r="S45" s="60">
        <v>4.3589131472616289</v>
      </c>
      <c r="T45" s="60">
        <v>1073.9873941497444</v>
      </c>
      <c r="U45" s="60">
        <v>5.9605493201961508</v>
      </c>
      <c r="V45" s="60">
        <v>175.24994416812436</v>
      </c>
      <c r="W45" s="60">
        <v>2203.0679845882592</v>
      </c>
      <c r="X45" s="60">
        <v>41.442989589558685</v>
      </c>
      <c r="Y45" s="60">
        <v>28635.596899487969</v>
      </c>
      <c r="Z45" s="60">
        <v>10.300473221024752</v>
      </c>
      <c r="AA45" s="60">
        <v>30.165666915334025</v>
      </c>
      <c r="AB45" s="60">
        <v>205.20932203673399</v>
      </c>
      <c r="AC45" s="60">
        <v>21.292759061794683</v>
      </c>
    </row>
    <row r="46" spans="1:29" x14ac:dyDescent="0.35">
      <c r="A46" s="37" t="s">
        <v>121</v>
      </c>
      <c r="B46" s="69" t="s">
        <v>178</v>
      </c>
      <c r="C46" s="20">
        <v>17</v>
      </c>
      <c r="D46" s="20">
        <v>35.04</v>
      </c>
      <c r="E46">
        <f t="shared" si="53"/>
        <v>207.51146827109861</v>
      </c>
      <c r="F46">
        <f t="shared" si="54"/>
        <v>910.75569443244592</v>
      </c>
      <c r="G46">
        <f t="shared" si="55"/>
        <v>6264.3178865572754</v>
      </c>
      <c r="H46">
        <f t="shared" si="56"/>
        <v>815.82226587592493</v>
      </c>
      <c r="I46">
        <f t="shared" si="57"/>
        <v>519.87020708620548</v>
      </c>
      <c r="J46">
        <f t="shared" si="58"/>
        <v>624.10017088302902</v>
      </c>
      <c r="K46">
        <f t="shared" si="59"/>
        <v>379.29590381111416</v>
      </c>
      <c r="L46">
        <f t="shared" si="60"/>
        <v>119.1662668534611</v>
      </c>
      <c r="M46">
        <f t="shared" si="61"/>
        <v>223.71198592110449</v>
      </c>
      <c r="N46">
        <f t="shared" si="62"/>
        <v>183.08865665028671</v>
      </c>
      <c r="O46">
        <f t="shared" si="63"/>
        <v>147.30945919473757</v>
      </c>
      <c r="P46">
        <f t="shared" si="64"/>
        <v>116.90284141104652</v>
      </c>
      <c r="R46" s="60">
        <v>6.0178325798618602</v>
      </c>
      <c r="S46" s="60">
        <v>7.2860455554595678</v>
      </c>
      <c r="T46" s="60">
        <v>1541.0222000930896</v>
      </c>
      <c r="U46" s="60">
        <v>11.421511722262949</v>
      </c>
      <c r="V46" s="60">
        <v>318.16056673675774</v>
      </c>
      <c r="W46" s="60">
        <v>2415.2676613173226</v>
      </c>
      <c r="X46" s="60">
        <v>40.432943346264771</v>
      </c>
      <c r="Y46" s="60">
        <v>53028.988749790187</v>
      </c>
      <c r="Z46" s="60">
        <v>12.975295183424061</v>
      </c>
      <c r="AA46" s="60">
        <v>37.624718941633915</v>
      </c>
      <c r="AB46" s="60">
        <v>231.27585093573799</v>
      </c>
      <c r="AC46" s="60">
        <v>19.873483039877911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Таблица полная Grt</vt:lpstr>
      <vt:lpstr>Таблица полная Cpx</vt:lpstr>
      <vt:lpstr>для графера</vt:lpstr>
      <vt:lpstr>генерации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2022-11-26T20:20:46Z</dcterms:modified>
</cp:coreProperties>
</file>